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bookViews>
    <workbookView windowWidth="18350" windowHeight="6380" firstSheet="1" activeTab="2"/>
  </bookViews>
  <sheets>
    <sheet name="Overview" sheetId="1" r:id="rId1"/>
    <sheet name="Analysis " sheetId="2" r:id="rId2"/>
    <sheet name="TC - Deposit money" sheetId="3" r:id="rId3"/>
    <sheet name="External Transfer money" sheetId="6" r:id="rId4"/>
    <sheet name="User_History transaction" sheetId="7" r:id="rId5"/>
  </sheets>
  <definedNames>
    <definedName name="LOCAL_MYSQL_DATE_FORMAT">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YEAR_FORMAT">#REF!</definedName>
    <definedName name="LOCAL_DATE_SEPARATOR">#REF!</definedName>
    <definedName name="LOCAL_DAY_FORMAT">#REF!</definedName>
    <definedName name="LOCAL_MONTH_FORMAT">#REF!</definedName>
    <definedName name="LOCAL_TIME_SEPARATOR">#REF!</definedName>
    <definedName name="LOCAL_MINUTE_FORMAT">#REF!</definedName>
    <definedName name="LOCAL_SECOND_FORMAT">#REF!</definedName>
    <definedName name="LOCAL_HOUR_FORMAT">#REF!</definedName>
  </definedNames>
  <calcPr calcId="144525"/>
</workbook>
</file>

<file path=xl/comments1.xml><?xml version="1.0" encoding="utf-8"?>
<comments xmlns="http://schemas.openxmlformats.org/spreadsheetml/2006/main">
  <authors>
    <author/>
  </authors>
  <commentList>
    <comment ref="C11" authorId="0">
      <text>
        <r>
          <rPr>
            <sz val="10"/>
            <rFont val="SimSun"/>
            <charset val="134"/>
          </rPr>
          <t>======
ID#AAAAzLr9-3s
Stefan Heidloff    (2023-06-14 09:27:34)
Please select from list which appears when you select this field.</t>
        </r>
      </text>
    </comment>
    <comment ref="D24" authorId="0">
      <text>
        <r>
          <rPr>
            <sz val="10"/>
            <rFont val="SimSun"/>
            <charset val="134"/>
          </rPr>
          <t>======
ID#AAAAzLr9-3w
chauhoang    (2023-06-14 09:27:34)
A - Added; 
M - Modified;
D - Deleted</t>
        </r>
      </text>
    </comment>
  </commentList>
</comments>
</file>

<file path=xl/sharedStrings.xml><?xml version="1.0" encoding="utf-8"?>
<sst xmlns="http://schemas.openxmlformats.org/spreadsheetml/2006/main" count="1566" uniqueCount="1072">
  <si>
    <t xml:space="preserve">TEST CASE </t>
  </si>
  <si>
    <t>Application</t>
  </si>
  <si>
    <t>Product Management</t>
  </si>
  <si>
    <t>Project Manager</t>
  </si>
  <si>
    <t>E-Banking</t>
  </si>
  <si>
    <t>Targeted SW Platforms:</t>
  </si>
  <si>
    <t>IE8,9, Google Chrome</t>
  </si>
  <si>
    <t>Targeted Devices:</t>
  </si>
  <si>
    <t>Computer</t>
  </si>
  <si>
    <t>Required Bearer:</t>
  </si>
  <si>
    <t>None</t>
  </si>
  <si>
    <t>Required Memory (ROM/RAM):</t>
  </si>
  <si>
    <t>Testing Status</t>
  </si>
  <si>
    <t>Test Lead:</t>
  </si>
  <si>
    <t>Trang Huỳnh</t>
  </si>
  <si>
    <t>Tester(s):</t>
  </si>
  <si>
    <t>Nguyễn Thương, Huỳnh Thương</t>
  </si>
  <si>
    <t>Tested on Terminal:</t>
  </si>
  <si>
    <t>N/A</t>
  </si>
  <si>
    <t>No. of Test cases:</t>
  </si>
  <si>
    <t>Records of Change</t>
  </si>
  <si>
    <t>Module</t>
  </si>
  <si>
    <t>Section</t>
  </si>
  <si>
    <t>A / M / D</t>
  </si>
  <si>
    <t xml:space="preserve">Description </t>
  </si>
  <si>
    <t>Version</t>
  </si>
  <si>
    <t>Reference</t>
  </si>
  <si>
    <t>Written By</t>
  </si>
  <si>
    <t>Written Date</t>
  </si>
  <si>
    <t xml:space="preserve">Reviewed By </t>
  </si>
  <si>
    <t>Reviewed Date</t>
  </si>
  <si>
    <t>Product Group Screen</t>
  </si>
  <si>
    <t>View</t>
  </si>
  <si>
    <t>Add</t>
  </si>
  <si>
    <t>Create TC</t>
  </si>
  <si>
    <t>Use Case</t>
  </si>
  <si>
    <t>Deposit money</t>
  </si>
  <si>
    <t>Withdraw money</t>
  </si>
  <si>
    <t>Internal Transaction</t>
  </si>
  <si>
    <t>External Transaction</t>
  </si>
  <si>
    <t>User_History transaction</t>
  </si>
  <si>
    <t>Admin_History Transaction</t>
  </si>
  <si>
    <t>Test Summary</t>
  </si>
  <si>
    <t>Severity
 (the consequence of this feature to system)</t>
  </si>
  <si>
    <t>Priority
 (the importance of this feature in system)</t>
  </si>
  <si>
    <t>Total of Test Cases</t>
  </si>
  <si>
    <t>Total Test Cases Passed</t>
  </si>
  <si>
    <t>Total Test Cases Failed</t>
  </si>
  <si>
    <t>Total Test Cases Blocked</t>
  </si>
  <si>
    <t>Total Test Cases Untested</t>
  </si>
  <si>
    <t>% Execution Completion</t>
  </si>
  <si>
    <t>Build/Release version</t>
  </si>
  <si>
    <t>Tested By</t>
  </si>
  <si>
    <t>Start Date</t>
  </si>
  <si>
    <t>End Date</t>
  </si>
  <si>
    <t>Test Duration (Hours)</t>
  </si>
  <si>
    <t>Number of Active Bugs</t>
  </si>
  <si>
    <t>High</t>
  </si>
  <si>
    <t>Thuong Nguyen</t>
  </si>
  <si>
    <t>17h</t>
  </si>
  <si>
    <t>Thuong Huynh</t>
  </si>
  <si>
    <t>18h</t>
  </si>
  <si>
    <t>21h</t>
  </si>
  <si>
    <t>24h</t>
  </si>
  <si>
    <t>15h</t>
  </si>
  <si>
    <t>Module: Deposit Money</t>
  </si>
  <si>
    <t>Function/Page Name</t>
  </si>
  <si>
    <t>Fields</t>
  </si>
  <si>
    <t>Condition Testing</t>
  </si>
  <si>
    <t>Types</t>
  </si>
  <si>
    <t>Technique Design</t>
  </si>
  <si>
    <t>Number of Testcase</t>
  </si>
  <si>
    <t>Happy case</t>
  </si>
  <si>
    <t>Successful Deposit money</t>
  </si>
  <si>
    <t>SRS</t>
  </si>
  <si>
    <t>[Tài khoản nhận] fields</t>
  </si>
  <si>
    <t>Required</t>
  </si>
  <si>
    <t>include 9 character</t>
  </si>
  <si>
    <t>Equivalience Partition and Boudary Analysis</t>
  </si>
  <si>
    <t>numberic</t>
  </si>
  <si>
    <t>[Số tiền] field</t>
  </si>
  <si>
    <t>required</t>
  </si>
  <si>
    <t>more than 0VND</t>
  </si>
  <si>
    <t>[Nội dung] field</t>
  </si>
  <si>
    <t>alphanumberic</t>
  </si>
  <si>
    <t>1-100 character</t>
  </si>
  <si>
    <t>Vietnamese without accents</t>
  </si>
  <si>
    <t>Module: User - History transaction</t>
  </si>
  <si>
    <t>Happcase</t>
  </si>
  <si>
    <t>[Chọn tài khoản] drop down list</t>
  </si>
  <si>
    <t>[Từ ngày] field</t>
  </si>
  <si>
    <t>select value</t>
  </si>
  <si>
    <t>input value</t>
  </si>
  <si>
    <t>date</t>
  </si>
  <si>
    <t>&gt;= 1-1-1900</t>
  </si>
  <si>
    <t>&lt;=31-12-2100</t>
  </si>
  <si>
    <t>[Đến ngày] field</t>
  </si>
  <si>
    <t>&gt;= [Từ ngày] field</t>
  </si>
  <si>
    <t>calendar</t>
  </si>
  <si>
    <t xml:space="preserve">correct </t>
  </si>
  <si>
    <t>search year</t>
  </si>
  <si>
    <t>[Hình thức] column</t>
  </si>
  <si>
    <t>desc [z-a]</t>
  </si>
  <si>
    <t>asc [a-z]</t>
  </si>
  <si>
    <t>[+/-] column</t>
  </si>
  <si>
    <t>desc [-/+]</t>
  </si>
  <si>
    <t>asc [+/-]</t>
  </si>
  <si>
    <t>[Số tiền giao dịch] column</t>
  </si>
  <si>
    <t>desc</t>
  </si>
  <si>
    <t>asc</t>
  </si>
  <si>
    <t>[Ngày giao dịch] column</t>
  </si>
  <si>
    <t>Drop down list</t>
  </si>
  <si>
    <t>include [5,10,15]</t>
  </si>
  <si>
    <t>default 5</t>
  </si>
  <si>
    <t>First button</t>
  </si>
  <si>
    <t>Previous button</t>
  </si>
  <si>
    <t>[1] button</t>
  </si>
  <si>
    <t>first, previous button disable</t>
  </si>
  <si>
    <t>[2] button</t>
  </si>
  <si>
    <t>first, previous,next, last button enable</t>
  </si>
  <si>
    <t>[3] button</t>
  </si>
  <si>
    <t>[4] button</t>
  </si>
  <si>
    <t>next, last button disable</t>
  </si>
  <si>
    <t>Next button</t>
  </si>
  <si>
    <t xml:space="preserve">Last button </t>
  </si>
  <si>
    <t>[Xuất excel] button</t>
  </si>
  <si>
    <t>UNHappy case</t>
  </si>
  <si>
    <t>alphabet</t>
  </si>
  <si>
    <t>date does not exist</t>
  </si>
  <si>
    <t>wrong format</t>
  </si>
  <si>
    <t>&lt; [Từ ngày] field</t>
  </si>
  <si>
    <t>-</t>
  </si>
  <si>
    <t>Total TCs</t>
  </si>
  <si>
    <t>PASSED</t>
  </si>
  <si>
    <t>FAILED</t>
  </si>
  <si>
    <t>UNTEST</t>
  </si>
  <si>
    <t>BLOCKED</t>
  </si>
  <si>
    <t>Test Case ID</t>
  </si>
  <si>
    <t>Test Objective</t>
  </si>
  <si>
    <t>Precondition</t>
  </si>
  <si>
    <t>Steps</t>
  </si>
  <si>
    <t>Expectation</t>
  </si>
  <si>
    <t>Actual Result</t>
  </si>
  <si>
    <t xml:space="preserve"> Results</t>
  </si>
  <si>
    <t>Notes</t>
  </si>
  <si>
    <t>GUI</t>
  </si>
  <si>
    <t>DM_001</t>
  </si>
  <si>
    <t>Verify that content and UI of deposit money screen</t>
  </si>
  <si>
    <t xml:space="preserve">UI and content </t>
  </si>
  <si>
    <r>
      <rPr>
        <sz val="10"/>
        <color theme="1"/>
        <rFont val="Arial"/>
        <charset val="134"/>
      </rPr>
      <t xml:space="preserve">Open Ebanking link </t>
    </r>
    <r>
      <rPr>
        <u/>
        <sz val="10"/>
        <color rgb="FF1155CC"/>
        <rFont val="Arial"/>
        <charset val="134"/>
      </rPr>
      <t>http://14.176.232.213:8080/EBankingWebsite/faces/admin/Login</t>
    </r>
    <r>
      <rPr>
        <sz val="10"/>
        <color theme="1"/>
        <rFont val="Arial"/>
        <charset val="134"/>
      </rPr>
      <t xml:space="preserve">  and login successful
</t>
    </r>
  </si>
  <si>
    <t>1. Open Ebanking link 
2. Observe UI and content</t>
  </si>
  <si>
    <t>Screen have all fields and [Xác nhận] button</t>
  </si>
  <si>
    <t>DM_002</t>
  </si>
  <si>
    <t>[Tài khoản nhận] field</t>
  </si>
  <si>
    <t>1. Open Ebanking link 
2. Observe UI and content of [Tài khoản nhận] field</t>
  </si>
  <si>
    <t>Lable is [Tài khoản nhận] and displayed as design
Default status of text field is empty
This is required field</t>
  </si>
  <si>
    <t>DM_003</t>
  </si>
  <si>
    <t>1. Open Ebanking link 
2. Observe UI and content of [Số tiền] field</t>
  </si>
  <si>
    <t>Lable is [Số tiền] and displayed as design 
Default status of text field is empty
This is required</t>
  </si>
  <si>
    <t>DM_004</t>
  </si>
  <si>
    <t>1. Open Ebanking link 
2. Observe UI and content of [Nội dung] field</t>
  </si>
  <si>
    <t>Lable is [Nội dung] and displayed as design 
Default status of text field is empty
This is required</t>
  </si>
  <si>
    <t>DM_005</t>
  </si>
  <si>
    <t>[Xác nhận] button</t>
  </si>
  <si>
    <t>1. Open Ebanking link 
2. Observe UI and content of [Xác nhận] button</t>
  </si>
  <si>
    <t>Button is displayed as design 
button highlighted when hover mouse</t>
  </si>
  <si>
    <t>DM_006</t>
  </si>
  <si>
    <t>Verify that UI and content of header</t>
  </si>
  <si>
    <t>Logo</t>
  </si>
  <si>
    <t xml:space="preserve">Open Ebanking link and login successful
</t>
  </si>
  <si>
    <t>1. Open Ebanking link 
2. Observe UI and content of header</t>
  </si>
  <si>
    <t>Logo is display as design</t>
  </si>
  <si>
    <t>DM_007</t>
  </si>
  <si>
    <t>Verify that UI and content of menu</t>
  </si>
  <si>
    <t>Title</t>
  </si>
  <si>
    <t>1. Open Ebanking link 
2. Observe UI and content of menu</t>
  </si>
  <si>
    <t>Title is [Menu] and displayed as design
Menu have all button</t>
  </si>
  <si>
    <t>DM_008</t>
  </si>
  <si>
    <t>Lable [Khách hàng]</t>
  </si>
  <si>
    <t>Lable is [Khách hàng] and displayed as design
button is [Danh sách khách hàng] and displayed as design 
button highlighted when hover mouse</t>
  </si>
  <si>
    <t>DM_009</t>
  </si>
  <si>
    <t>Lable [Giao dịch]</t>
  </si>
  <si>
    <t>Lable is [Giao dịch] and displayed as design
button is [Rút tiền] and displayed as design
button is [Nộp tiền] and displayed as design 
button highlighted when hover mouse</t>
  </si>
  <si>
    <t>DM_010</t>
  </si>
  <si>
    <t>Lable [Nhật ký giao dịch]</t>
  </si>
  <si>
    <t>Lable is [Nhật ký giao dịch] and displayed as design
button is [Theo khách hàng] and displayed as design
button is [Theo ngày] and displayed as design 
button highlighted when hover mouse</t>
  </si>
  <si>
    <t>DM_011</t>
  </si>
  <si>
    <t>Verify that all fields are not moved when admin deposit money successfull</t>
  </si>
  <si>
    <t>1. Open Ebanking link 
2. Deposit money 
3. Observe UI and content of menu</t>
  </si>
  <si>
    <t xml:space="preserve">all fields are not moved </t>
  </si>
  <si>
    <t>all fields are moved to the right</t>
  </si>
  <si>
    <t>BugDM_01</t>
  </si>
  <si>
    <t>FUNCTION</t>
  </si>
  <si>
    <t>DM_012</t>
  </si>
  <si>
    <t>Verify that successful deposit money when admin enter valid value in all fields</t>
  </si>
  <si>
    <t>input value = existed account number in [Tài khoản nhận] field</t>
  </si>
  <si>
    <t>Open the Ebanking link and login successful
testdata: 
Tài khoản nhận: 100003603
Số tiền: 100000
Nội dung: chuyen tien</t>
  </si>
  <si>
    <t>1. Click on [nộp tiền] button in homepage screen
2. Enter value = existed account number in [Tài khoản nhận] field
3. Enter valid value in the remaining fields
4. Click [Xác nhận] button</t>
  </si>
  <si>
    <t>Deposit money successful
Send email notifications to users
Display message "Nộp tiền thành công"</t>
  </si>
  <si>
    <t>DM_013</t>
  </si>
  <si>
    <t>input value = 1000 VND in [Số tiền] field</t>
  </si>
  <si>
    <t>1. Click on [Nộp tiền] button in homepage screen
2. Enter value = 1000 VND in [Số tiền] field
3. Enter valid value in the remaining fields
4. Click [Xác nhận] button</t>
  </si>
  <si>
    <t>DM_014</t>
  </si>
  <si>
    <t>input value = 2000 VND in [Số tiền] field</t>
  </si>
  <si>
    <t>1. Click on [Nộp tiền] button in homepage screen
2. Enter value = 2000 VND in [Số tiền] field
3. Enter valid value in the remaining fields
4. Click [Xác nhận] button</t>
  </si>
  <si>
    <t>DM_015</t>
  </si>
  <si>
    <t>input value = 10.000.000.000VND in [Số tiền] field</t>
  </si>
  <si>
    <t>1. Click on [Nộp tiền] button in homepage screen
2. Enter value = 10.000.000.000VND in [Số tiền] field
3. Enter valid value in the remaining fields
4. Click [Xác nhận] button</t>
  </si>
  <si>
    <t>DM_016</t>
  </si>
  <si>
    <t>input value = alphabet character in [Nội dung] field</t>
  </si>
  <si>
    <t>1. Click on [Nộp tiền] button in homepage screen
2. Enter valid value in the remaining fields
3. Enter value = alphabet character in [Nội dung] field
4. Click [Xác nhận] button</t>
  </si>
  <si>
    <t>DM_017</t>
  </si>
  <si>
    <t>input value = 1 characters in [Nội dung] field</t>
  </si>
  <si>
    <t>1. Click on [Nộp tiền] button in homepage screen
2. Enter valid value in the remaining fields
3. Enter value = 1 characters in [Nội dung] field
4. Click [Xác nhận] button</t>
  </si>
  <si>
    <t>DM_018</t>
  </si>
  <si>
    <t>input value = 2 characters in [Nội dung] field</t>
  </si>
  <si>
    <t>1. Click on [Nộp tiền] button in homepage screen
2. Enter valid value in the remaining fields
3. Enter value = 2 characters in [Nội dung] field
4. Click [Xác nhận] button</t>
  </si>
  <si>
    <t>DM_019</t>
  </si>
  <si>
    <t>input value = 99 characters in [Nội dung] field</t>
  </si>
  <si>
    <t>1. Click on [Nộp tiền] button in homepage screen
2. Enter valid value in the remaining fields
3. Enter value = 99 characters in [Nội dung] field
4. Click [Xác nhận] button</t>
  </si>
  <si>
    <t>DM_020</t>
  </si>
  <si>
    <t>input value = 100 characters in [Nội dung] field</t>
  </si>
  <si>
    <t>1. Click on [Nộp tiền] button in homepage screen
2. Enter valid value in the remaining fields
3. Enter value = 100 characters in [Nội dung] field
4. Click [Xác nhận] button</t>
  </si>
  <si>
    <t>DM_021</t>
  </si>
  <si>
    <t>Verify that send an email to user when the admin successfully deposit money</t>
  </si>
  <si>
    <t>Open the Ebanking link and login successful</t>
  </si>
  <si>
    <t>1. Successfully deposit money
2. User check email</t>
  </si>
  <si>
    <t>send an email to user</t>
  </si>
  <si>
    <t>DM_022</t>
  </si>
  <si>
    <t>Verify that error message is displayed when admin leave fields blank</t>
  </si>
  <si>
    <t>all fields</t>
  </si>
  <si>
    <t>1. Click on [Nộp tiền] button in homepage screen
2. Leave all fields blank
3. Click [Xác nhận] button</t>
  </si>
  <si>
    <t>"Vui lòng nhập Tài khoản nhận" Message display</t>
  </si>
  <si>
    <t>"Vui lòng nhập Tài khoản nhận" Message  is not displayed</t>
  </si>
  <si>
    <t>BugDM_02</t>
  </si>
  <si>
    <t>DM_023</t>
  </si>
  <si>
    <t>1. Click on [Nộp tiền] button in homepage screen
2. Leave [Tài khoản nhận] field blank
3. Click [Xác nhận] button</t>
  </si>
  <si>
    <t>BugDM_03</t>
  </si>
  <si>
    <t>DM_024</t>
  </si>
  <si>
    <t>1. Click on [Nộp tiền] button in homepage screen
2. Leave [Số tiền] field blank
3. Click [Xác nhận] button</t>
  </si>
  <si>
    <t>"Vui lòng nhập Số tiền" Message display</t>
  </si>
  <si>
    <t>"Vui lòng nhập Số tiền" Message  is not displayed</t>
  </si>
  <si>
    <t>BugDM_04</t>
  </si>
  <si>
    <t>DM_025</t>
  </si>
  <si>
    <t>1. Click on [Nộp tiền] button in homepage screen
2. Leave [Nội dung] field blank
3. Click [Xác nhận] button</t>
  </si>
  <si>
    <t>"Vui lòng nhập Nội dung" Message display</t>
  </si>
  <si>
    <t>"Vui lòng nhập Nội dung" Message  is not displayed</t>
  </si>
  <si>
    <t>BugDM_05</t>
  </si>
  <si>
    <t>DM_026</t>
  </si>
  <si>
    <t>Verify that error message is displayed when admin enter space character  in field</t>
  </si>
  <si>
    <t>1. Click on [Nộp tiền] button in homepage screen
2. Enter value = space characters in [Tài khoản nhận] field
3. Click [Xác nhận] button</t>
  </si>
  <si>
    <t>BugDM_06</t>
  </si>
  <si>
    <t>DM_027</t>
  </si>
  <si>
    <t>1. Click on [Nộp tiền] button in homepage screen
2. Enter value = space characters in [Số tiền] field
3. Click [Xác nhận] button</t>
  </si>
  <si>
    <t>"Vui lòng nhập Số tiền" Message is not displayed</t>
  </si>
  <si>
    <t>BugDM_07</t>
  </si>
  <si>
    <t>DM_028</t>
  </si>
  <si>
    <t>1. Click on [Nộp tiền] button in homepage screen
2. Enter value = space characters in [Nội dung] field
3. Click [Xác nhận] button</t>
  </si>
  <si>
    <t>BugDM_08</t>
  </si>
  <si>
    <t>DM_029</t>
  </si>
  <si>
    <t>Verify that Fail deposit money when admin enter invalid value in [Tài khoản nhận] fields</t>
  </si>
  <si>
    <t>input value = characters alphabet in [Tài khoản nhận] field</t>
  </si>
  <si>
    <t>Open the Ebanking link and login successful
testdata: 
Tài khoản nhận: abcdefghj
Số tiền: 100000
Nội dung: chuyen tien</t>
  </si>
  <si>
    <t>1. Click on [Nộp tiền] button in homepage screen
2. Enter value = 9 characters alphabet in [Tài khoản nhận] field
3. Enter valid value in the remaining fields
4. Click [Xác nhận] button</t>
  </si>
  <si>
    <t xml:space="preserve">Display message with content "Thông báo lỗi! Tài khoản đích không hợp lệ. Bạn vui lòng kiểm tra và nhập lại." </t>
  </si>
  <si>
    <t>The system transfers an error page with content "An error occurred" after entering a string into [Tai khoan] field</t>
  </si>
  <si>
    <t>BugDM_09</t>
  </si>
  <si>
    <t>DM_030</t>
  </si>
  <si>
    <t>input value = not existed account number in [Tài khoản nhận] field</t>
  </si>
  <si>
    <t>Open the Ebanking link and login successful
testdata: 
Tài khoản nhận: 123456789
Số tiền: 100000
Nội dung: chuyen tien</t>
  </si>
  <si>
    <t>1. Click on [Nộp tiền] button in homepage screen
2. Enter value = not existed account number in [Tài khoản nhận] field
3. Enter valid value in the remaining fields
4. Click [Xác nhận] button</t>
  </si>
  <si>
    <t>"tai khoann ko ton tai" Message display</t>
  </si>
  <si>
    <t>BugDM_10</t>
  </si>
  <si>
    <t>DM_031</t>
  </si>
  <si>
    <t>input value = 8 characters numberic in [Tài khoản nhận] field</t>
  </si>
  <si>
    <t>Open the Ebanking link and login successful
testdata: 
Tài khoản nhận: 12345678
Số tiền: 100000
Nội dung: chuyen tien</t>
  </si>
  <si>
    <t>1. Click on [Nộp tiền] button in homepage screen
2. Enter value = 8 characters numberic in [Tài khoản nhận] field
3. Enter valid value in the remaining fields
4. Click [Xác nhận] button</t>
  </si>
  <si>
    <t>BugDM_11</t>
  </si>
  <si>
    <t>DM_032</t>
  </si>
  <si>
    <t>input value = 10 characters numberic in [Tài khoản nhận] field</t>
  </si>
  <si>
    <t>Open the Ebanking link and login successful
testdata: 
Tài khoản nhận: 1234567800
Số tiền: 100000
Nội dung: chuyen tien</t>
  </si>
  <si>
    <t>1. Click on [Nộp tiền] button in homepage screen
2. Enter value = 10 characters numberic in [Tài khoản nhận] field
3. Enter valid value in the remaining fields
4. Click [Xác nhận] button</t>
  </si>
  <si>
    <t>BugDM_12</t>
  </si>
  <si>
    <t>DM_033</t>
  </si>
  <si>
    <t>Verify that Fail deposit money when admin enter invalid value in [Số tiền] fields</t>
  </si>
  <si>
    <t>input value = alphabet character in [Số tiền] field</t>
  </si>
  <si>
    <t>Open the Ebanking link and login successful testdata: 
Tài khoản nhận: 100003603 
Số tiền: abc
Nội dung: chuyen tien</t>
  </si>
  <si>
    <t>1. Click on [Nộp tiền] button in homepage screen
2. Enter value = alphabet character in [Số tiền] field
3. Enter valid value in the remaining fields
4. Click [Xác nhận] button</t>
  </si>
  <si>
    <t xml:space="preserve">Display message with content "Thông báo lỗi! Số tiền không hợp lệ." </t>
  </si>
  <si>
    <t xml:space="preserve">Not Display message with content "Thông báo lỗi! Số tiền không hợp lệ." </t>
  </si>
  <si>
    <t>BugDM_13</t>
  </si>
  <si>
    <t>DM_034</t>
  </si>
  <si>
    <t>input value = 0 VND in [Số tiền] field</t>
  </si>
  <si>
    <t>Open the Ebanking link and login successful testdata: 
Tài khoản nhận: 100003603 
Số tiền: 0
Nội dung: chuyen tien</t>
  </si>
  <si>
    <t>1. Click on [Nộp tiền] button in homepage screen
2. Enter value = 0VND in [Số tiền] field
3. Enter valid value in the remaining fields
4. Click [Xác nhận] button</t>
  </si>
  <si>
    <t>"Số tiền tối thiểu là 1,000 VND" Display message</t>
  </si>
  <si>
    <t>Successfully deposit money</t>
  </si>
  <si>
    <t>BugDM_14</t>
  </si>
  <si>
    <t>DM_035</t>
  </si>
  <si>
    <t>input value = 999VND in [Số tiền] field</t>
  </si>
  <si>
    <t>Open the Ebanking link and login successful testdata: 
Tài khoản nhận: 100003603 
Số tiền: 999
Nội dung: chuyen tien</t>
  </si>
  <si>
    <t>1. Click on [Nộp tiền] button in homepage screen
2. Enter value = 999 VND in [Số tiền] field
3. Enter valid value in the remaining fields
4. Click [Xác nhận] button</t>
  </si>
  <si>
    <t>DM_036</t>
  </si>
  <si>
    <t>input value = 1001VND in [Số tiền] field</t>
  </si>
  <si>
    <t>Open the Ebanking link and login successful testdata: 
Tài khoản nhận: 100003603 
Số tiền: 1001
Nội dung: chuyen tien</t>
  </si>
  <si>
    <t>1. Click on [Nộp tiền] button in homepage screen
2. Enter value = 1001 VND in [Số tiền] field
3. Enter valid value in the remaining fields
4. Click [Xác nhận] button</t>
  </si>
  <si>
    <t>DM_037</t>
  </si>
  <si>
    <t>Verify that Fail deposit money when admin enter invalid value in [Nội dung] fields</t>
  </si>
  <si>
    <t>input value = 101 characters in [Nội dung] field</t>
  </si>
  <si>
    <t>Open the Ebanking link and login successful
testdata: 
Tài khoản nhận: 100003603 
Số tiền: 10000
Nội dung: enter 101 characters</t>
  </si>
  <si>
    <t>1. Click on [Nộp tiền] button in homepage screen
2. Enter value = 101 characters in [Nội dung] field
3. Enter valid value in the remaining fields
4. Click [Xác nhận] button</t>
  </si>
  <si>
    <t>Display message with content  "Nội dung giao dịch không vượt quá 100 kí tự. Vui lòng thử lại."</t>
  </si>
  <si>
    <t>Not Display message with content  "Nội dung giao dịch không vượt quá 100 kí tự. Vui lòng thử lại."</t>
  </si>
  <si>
    <t>BugDM_15</t>
  </si>
  <si>
    <t>DM_038</t>
  </si>
  <si>
    <t>input value = special character in [Nội dung] field</t>
  </si>
  <si>
    <t>Open Ebanking link and login successful
Deposit money successful</t>
  </si>
  <si>
    <t>1. Click on [Nộp tiền] button in homepage screen
2. Enter value = special character in [Nội dung] field
3. Enter valid value in the remaining fields
4. Click [Xác nhận] button</t>
  </si>
  <si>
    <t>Display message with content  "Nội dung giao dịch không hợp lệ."</t>
  </si>
  <si>
    <t>Not Display message with content  "Nội dung giao dịch không hợp lệ."</t>
  </si>
  <si>
    <t>BugDM_16</t>
  </si>
  <si>
    <t>DM_039</t>
  </si>
  <si>
    <t>Verify that reset data when admin deposit money successful</t>
  </si>
  <si>
    <t>1. Click on [Nộp tiền] button in homepage screen
2. Enter valid value in all fields
3. Click [Xác nhận] button</t>
  </si>
  <si>
    <t>Reset data</t>
  </si>
  <si>
    <t xml:space="preserve">Don't reset screen </t>
  </si>
  <si>
    <t>BugDM_17</t>
  </si>
  <si>
    <t>DM_040</t>
  </si>
  <si>
    <t>Verify that User's account balance increases when admin deposit money successful</t>
  </si>
  <si>
    <t>1. Click on [Nộp tiền] button in homepage screen
2. Enter valid value in all fields
3. Click [Xác nhận] button
4. User-side login to check balance</t>
  </si>
  <si>
    <t>account balance increase by amount equal to deposit amount</t>
  </si>
  <si>
    <t>DM_041</t>
  </si>
  <si>
    <t xml:space="preserve">Verify that Automatically format currency when admin enters amount </t>
  </si>
  <si>
    <t>Input value = 100000 in [Số tiền] field</t>
  </si>
  <si>
    <t>1. Click on [Nộp tiền] button in homepage screen
2. Enter value=100000 in [Số tiền] field</t>
  </si>
  <si>
    <t>Display text is [100,000] in [Số tiền] field</t>
  </si>
  <si>
    <t>Display text is [100000] in [Số tiền] field</t>
  </si>
  <si>
    <t>BugDM_18</t>
  </si>
  <si>
    <t>DM_042</t>
  </si>
  <si>
    <t>Verify that successful message disappears and fields are empty when click [Reload] button in Web Browser</t>
  </si>
  <si>
    <t>1. Enter valid value in all fields
2. Click [Xác nhận] button
3. Click [Reload] button in Web Browser</t>
  </si>
  <si>
    <t>Deposit money screen returns to default state</t>
  </si>
  <si>
    <t>Another transaction is made
balance increases</t>
  </si>
  <si>
    <t>BugDM_19</t>
  </si>
  <si>
    <t>DM_043</t>
  </si>
  <si>
    <t>Verify that user can check that money has been deposited via Email or Balance</t>
  </si>
  <si>
    <t>The user check their balance</t>
  </si>
  <si>
    <t xml:space="preserve">1. Click [Tai khoan] 
2. Choose an account number </t>
  </si>
  <si>
    <t>The Balance is increase</t>
  </si>
  <si>
    <t>DM_044</t>
  </si>
  <si>
    <t>An email is sent to the user</t>
  </si>
  <si>
    <t>Open Transactional Email</t>
  </si>
  <si>
    <t>The email is sent to the user with content "The (account number) has deposited the amount (the amount of money) at (date time) in (place). Available balance is (balance)"</t>
  </si>
  <si>
    <t>DM_045</t>
  </si>
  <si>
    <t>Verify that admin can check that money has been deposited via Transaction History</t>
  </si>
  <si>
    <t>[Theo khach hang] button</t>
  </si>
  <si>
    <t>1. Click [Theo khach hang] button
2. Select From date
3. Select To date
4. Click Search</t>
  </si>
  <si>
    <t>Account's transactions are displayed within the selected time</t>
  </si>
  <si>
    <t>DM_046</t>
  </si>
  <si>
    <t>[Theo ngay] button</t>
  </si>
  <si>
    <t>1. Select From date
2. Select To date
3. Click Search</t>
  </si>
  <si>
    <t>All transactions are displayed within the selected time</t>
  </si>
  <si>
    <t>[information transaction] page</t>
  </si>
  <si>
    <t>ET_001</t>
  </si>
  <si>
    <t>Verify that UI and content of External Transfer money</t>
  </si>
  <si>
    <t>UI and content</t>
  </si>
  <si>
    <r>
      <rPr>
        <sz val="10"/>
        <rFont val="Arial"/>
        <charset val="134"/>
      </rPr>
      <t xml:space="preserve">open </t>
    </r>
    <r>
      <rPr>
        <u/>
        <sz val="10"/>
        <color rgb="FF1155CC"/>
        <rFont val="Arial"/>
        <charset val="134"/>
      </rPr>
      <t>http://14.176.232.213:8080/EBankingWebsite/faces/banktransfer.xhtml</t>
    </r>
    <r>
      <rPr>
        <sz val="10"/>
        <rFont val="Arial"/>
        <charset val="134"/>
      </rPr>
      <t xml:space="preserve"> and login successful</t>
    </r>
  </si>
  <si>
    <t>1. Open Ebanking and login 
2. Observe UI and content of External Transfer money</t>
  </si>
  <si>
    <t>screen have all fields and drop-down list, [Chuyển tiền] button</t>
  </si>
  <si>
    <t>ET_002</t>
  </si>
  <si>
    <t>[Chọn tài khoản] drop-down list</t>
  </si>
  <si>
    <t>1. Open Ebanking and login 
2. Observe UI and content of [Chọn tài khoản] drop-down list</t>
  </si>
  <si>
    <t xml:space="preserve">Lable is "Tài khoản" and display account number as design
Default status of drop down list is "Chọn tài khoản"
</t>
  </si>
  <si>
    <t>ET_003</t>
  </si>
  <si>
    <t>[Số dư khả dụng] lable</t>
  </si>
  <si>
    <t>1. Open Ebanking and login 
2. Observe UI and content of [Số dư khả dụng] lable</t>
  </si>
  <si>
    <t>Lable is "Số dư khả dụng" and display as design</t>
  </si>
  <si>
    <t>ET_004</t>
  </si>
  <si>
    <t>[Số tài khoản nhận] field</t>
  </si>
  <si>
    <t>1. Open Ebanking and login 
2. Observe UI and content of [Số tài khoản nhận] field</t>
  </si>
  <si>
    <t>Lable is "Số tài khoản nhận" and display as design
this is required
Default status of text field is empty
Highlighted when the user enters the wrong value</t>
  </si>
  <si>
    <t>Default status of text field is "0"</t>
  </si>
  <si>
    <t>BugETM_01</t>
  </si>
  <si>
    <t>ET_005</t>
  </si>
  <si>
    <t>[Tên tài khoản nhận] field</t>
  </si>
  <si>
    <t>1. Open Ebanking and login 
2. Observe UI and content of [Tên tài khoản nhận] field</t>
  </si>
  <si>
    <t xml:space="preserve">Lable is "Tên tài khoản nhận" and display as design
this is required
Default status of text field is empty
</t>
  </si>
  <si>
    <t>ET_006</t>
  </si>
  <si>
    <t>[Ngân hàng] drop-down list</t>
  </si>
  <si>
    <t>1. Open Ebanking and login 
2. Observe UI and content of [Ngân hàng] drop-down list</t>
  </si>
  <si>
    <t xml:space="preserve">Lable is "Ngân hàng" and display as design
this is required
Default status of text drop down list is "Chọn ngân hàng"
</t>
  </si>
  <si>
    <t>ET_007</t>
  </si>
  <si>
    <t>[Chi nhánh] drop-down list</t>
  </si>
  <si>
    <t>1. Open Ebanking and login 
2. Observe UI and content of [Chi nhánh] drop-down list</t>
  </si>
  <si>
    <t xml:space="preserve">Lable is "Ngân hàng" and display as design
this is required
Default status of text drop down list is "Chọn chi nhánh"
</t>
  </si>
  <si>
    <t>ET_008</t>
  </si>
  <si>
    <t>[Nội dung chuyển tiền] field</t>
  </si>
  <si>
    <t>1. Open Ebanking and login 
2. Observe UI and content of [Nội dung chuyển tiền] field</t>
  </si>
  <si>
    <t>Lable is "Nội dung chuyển tiền" and display as design
this is required
Default status of text field is empty</t>
  </si>
  <si>
    <t>ET_009</t>
  </si>
  <si>
    <t>[Số tiền chuyển khoản] field</t>
  </si>
  <si>
    <t>1. Open Ebanking and login 
2. Observe UI and content of [Số tiền chuyển khoản] field</t>
  </si>
  <si>
    <t>Lable is "Số tiền chuyển khoản" and display as design
this is required
Default status of text field is empty</t>
  </si>
  <si>
    <t>ET_010</t>
  </si>
  <si>
    <t>Verify that notifications are not obscured when multiple messages appear when the user enters the wrong value</t>
  </si>
  <si>
    <t>1. Open Ebanking and login 
2. Enter invalid value in all fields
3. Click on [Chuyển tiền] button</t>
  </si>
  <si>
    <t>messages are not obscured</t>
  </si>
  <si>
    <t>messages are  obscured</t>
  </si>
  <si>
    <t>BugETM_02</t>
  </si>
  <si>
    <t>[Xác nhận] page</t>
  </si>
  <si>
    <t>ET_011</t>
  </si>
  <si>
    <t>Verify that UI and content of [Xác nhận] page</t>
  </si>
  <si>
    <t>1. Enter valid value in all fields
2. Observe UI and content of [Xác nhận] page</t>
  </si>
  <si>
    <t xml:space="preserve">Lable is "Chuyển tiền" and displayed as design
</t>
  </si>
  <si>
    <t>ET_012</t>
  </si>
  <si>
    <t>[Captcha] field</t>
  </si>
  <si>
    <t>Lable is [Captcha] and displayed as design
this is required
Default status of text field is empty</t>
  </si>
  <si>
    <t>Don't have captcha</t>
  </si>
  <si>
    <t>[Chuyển tiền] page</t>
  </si>
  <si>
    <t>ET_013</t>
  </si>
  <si>
    <t>Verify that UI and content of [Chuyển tiền] page</t>
  </si>
  <si>
    <t>[Mã xác thực] field</t>
  </si>
  <si>
    <t>1. Enter valid value in all fields
2. Observe UI and content of [Chuyển tiền]  page</t>
  </si>
  <si>
    <t>Lable is "Mã xác thực" and displayed as design
this is required
default status of text field is empty</t>
  </si>
  <si>
    <t>ET_014</t>
  </si>
  <si>
    <t>verify that [Xác nhận] page is displayed when the user enter valid value in all fields</t>
  </si>
  <si>
    <t>select valid account number in [Chọn tài khoản] drop-down list</t>
  </si>
  <si>
    <t>Open Ebanking and login successful
User must have an account
account with a balance greater than the sum of the transfer amount and the transaction fee</t>
  </si>
  <si>
    <t>1. Open Ebanking and login 
2. Select valid account number in [Chọn tài khoản] drop down list
3. Enter valid value in the remaining fields
4. Click [Chuyển tiền] button</t>
  </si>
  <si>
    <t>Automatically displays the amount in [Số dư khả dụng]
[Xác nhận] page is displayed</t>
  </si>
  <si>
    <t>ET_015</t>
  </si>
  <si>
    <t>Input a value in the [Số tài khoản nhận] field that exists in the selected bank</t>
  </si>
  <si>
    <t>1. Open Ebanking and login 
2. Enter correct value in [Số tài khoản nhận] field
3. Enter valid value in the remaining fields
4. Click [Chuyển tiền] button</t>
  </si>
  <si>
    <t xml:space="preserve">Automatically display Account Name in [Tên tài khoản nhận] field matching the value of the [Số tài khoản nhận] field
[Xác nhận] page is displayed
</t>
  </si>
  <si>
    <t xml:space="preserve">Not Automatically display Account Name in [Tên tài khoản nhận] field matching the value of the [Số tài khoản nhận] field
[Xác nhận] page is displayed
</t>
  </si>
  <si>
    <t>BugETM_03</t>
  </si>
  <si>
    <t>ET_017</t>
  </si>
  <si>
    <t>Select a valid bank in [Chọn ngân hàng] drop-down list</t>
  </si>
  <si>
    <t>1. Open Ebanking and login 
2. Select a valid bank in [Chọn ngân hàng] drop-down list
3. Enter valid value in the remaining fields
4. Click [Chuyển tiền] button</t>
  </si>
  <si>
    <t>[Xác nhận] page is displayed</t>
  </si>
  <si>
    <t>ET_018</t>
  </si>
  <si>
    <t>Select valid branch in [Chọn chi nhánh] drop-down list</t>
  </si>
  <si>
    <t>1. Open Ebanking and login 
2. Select a valid bank in [Chọn chi nhánh] drop-down list
3. Enter valid value in the remaining fields
4. Click [Chuyển tiền] button</t>
  </si>
  <si>
    <t>ET_019</t>
  </si>
  <si>
    <t xml:space="preserve">input value = 1 character ASCII in [Nội dung chuyển tiền] field </t>
  </si>
  <si>
    <t>1. Open Ebanking and login 
2. Enter value = 1 character ASCII in [Nội dung chuyển tiền] field
3. Enter valid value in the remaining fields
4. Click [Chuyển tiền] button</t>
  </si>
  <si>
    <t>ET_020</t>
  </si>
  <si>
    <t xml:space="preserve">input value = 2 characters ASCII in [Nội dung chuyển tiền] field </t>
  </si>
  <si>
    <t>1. Open Ebanking and login 
2. Enter value = 2 characters ASCII in [Nội dung chuyển tiền] field
3. Enter valid value in the remaining fields
4. Click [Chuyển tiền] button</t>
  </si>
  <si>
    <t>ET_021</t>
  </si>
  <si>
    <t xml:space="preserve">input value = 99 characters ASCII in [Nội dung chuyển tiền] field </t>
  </si>
  <si>
    <t>1. Open Ebanking and login 
2. Enter value = 99 characters ASCII in [Nội dung chuyển tiền] field
3. Enter valid value in the remaining fields
4. Click [Chuyển tiền] button</t>
  </si>
  <si>
    <t>ET_022</t>
  </si>
  <si>
    <t xml:space="preserve">input value = 100 characters ASCII in [Nội dung chuyển tiền] field </t>
  </si>
  <si>
    <t>1. Open Ebanking and login 
2. Enter value = 100 characters ASCII in [Nội dung chuyển tiền] field
3. Enter valid value in the remaining fields
4. Click [Chuyển tiền] button</t>
  </si>
  <si>
    <t>ET_023</t>
  </si>
  <si>
    <t xml:space="preserve">input value = 1000 in [Số tiền chuyển khoản] field </t>
  </si>
  <si>
    <t>1. Open Ebanking and login 
2. Enter value = 1000 in [Số tiền chuyển khoản] field
3. Enter valid value in the remaining fields
4. Click [Chuyển tiền] button</t>
  </si>
  <si>
    <t>ET_024</t>
  </si>
  <si>
    <t xml:space="preserve">input value = 1001 in [Số tiền chuyển khoản] field </t>
  </si>
  <si>
    <t>1. Open Ebanking and login 
2. Enter value = 1001 in [Số tiền chuyển khoản] field
3. Enter valid value in the remaining fields
4. Click [Chuyển tiền] button</t>
  </si>
  <si>
    <t>ET_025</t>
  </si>
  <si>
    <t xml:space="preserve">input value = 99,999,999 in [Số tiền chuyển khoản] field </t>
  </si>
  <si>
    <t>1. Open Ebanking and login 
2. Enter value = 99,999,999 in [Số tiền chuyển khoản] field
3. Enter valid value in the remaining fields
4. Click [Chuyển tiền] button</t>
  </si>
  <si>
    <t>ET_026</t>
  </si>
  <si>
    <t xml:space="preserve">input value = 100,000,000 in [Số tiền chuyển khoản] field </t>
  </si>
  <si>
    <t>1. Open Ebanking and login 
2. Enter value = 100,000,000 in [Số tiền chuyển khoản] field
3. Enter valid value in the remaining fields
4. Click [Chuyển tiền] button</t>
  </si>
  <si>
    <t>ET_027</t>
  </si>
  <si>
    <t>input value = less than and equal amount in account minus transaction fee in [Số tiền chuyển khoản] field</t>
  </si>
  <si>
    <t>1. Open Ebanking and login 
2. Enter valid value in all fields
3. Enter less than and equal amount in account minus transaction fee in [Số tiền chuyển khoản] field
3. Click on [Chuyển tiền] button</t>
  </si>
  <si>
    <t>ET_028</t>
  </si>
  <si>
    <t>Verify that The data of [Số dư khả dụng] correctly with the account balance when the user select valid value [Chọn tài khoản] drop down list</t>
  </si>
  <si>
    <t>Open Ebanking and login successful</t>
  </si>
  <si>
    <t>1. Open Ebanking and login 
2. Select value in [Chọn tài khoản] drop down list
3. Observe value in [Số dư khả dụng]</t>
  </si>
  <si>
    <t>The data of [Số dư khả dụng] correctly with the account balance</t>
  </si>
  <si>
    <t>ET_029</t>
  </si>
  <si>
    <t>Verify that The account number displays correctly with the account list when the user click on [Chọn tài khoản] drop down list</t>
  </si>
  <si>
    <t>1. Open Ebanking and login 
2. Click on [Chọn tài khoản] drop down list
3. Observe value in [Chọn tài khoản] drop down list</t>
  </si>
  <si>
    <t>The account number displays correctly with the account list</t>
  </si>
  <si>
    <t>ET_030</t>
  </si>
  <si>
    <t>Verify that all banks is displayed  when the user click on [Chọn ngân hàng] drop down list</t>
  </si>
  <si>
    <t>1. Open Ebanking and login 
2. Click on [Chọn ngân hàng] drop down list
3. Observe value in [Chọn ngân hàng] drop down list</t>
  </si>
  <si>
    <t xml:space="preserve">all banks is displayed </t>
  </si>
  <si>
    <t>ET_031</t>
  </si>
  <si>
    <t>Verify that Branches are displayed correctly for all branches of the selected bank when the user click on [Chọn chi nhánh] drop down list</t>
  </si>
  <si>
    <t>1. Open Ebanking and login 
2. Click on [Chọn tài khoản] drop down list
3. Observe value in [Chọn chi nhánh] drop down list</t>
  </si>
  <si>
    <t>Branches are displayed correctly for all branches of the selected bank</t>
  </si>
  <si>
    <t>ET_032</t>
  </si>
  <si>
    <t>Verify that Currency is automatically formatted when the user enters a value in [Số tiền chuyển khoản] field</t>
  </si>
  <si>
    <t>1. Open Ebanking and login 
2. Enter value = 100000 in [Số tiền chuyển khoản] button
3. Observe content in [Số tiền chuyển khoản] field</t>
  </si>
  <si>
    <t>Display content in [Số tiền chuyển khoản] field is "100,000"</t>
  </si>
  <si>
    <t>Not Display content in [Số tiền chuyển khoản] field is "100,000"</t>
  </si>
  <si>
    <t>BugETM_04</t>
  </si>
  <si>
    <t>ET_033</t>
  </si>
  <si>
    <t>verify that [Xác nhận] page is displayed when the user transfers the total amount in 1 day is less than or equal to 500 million</t>
  </si>
  <si>
    <t xml:space="preserve"> transfers the total amount in 1 day is 499,999,999</t>
  </si>
  <si>
    <t>Open Ebanking and login successful
account with a balance greater than the sum of the transfer amount and the transaction fee
Successfully transferred 100 million 4 times
Test data:
Tài khoản gửi:  100003603
Số tiền trong tài khoản:         3,099,929,146 VNĐ
Tài khoản nhận: 10001111
Số tiền chuyển khoản: 100,000,000 VNĐ
Tên chủ tài khoản: Nguyen Van A</t>
  </si>
  <si>
    <t>1. Open Ebanking and login 
2. Enter valid value in all field
3. Click on [Chuyển tiền] button</t>
  </si>
  <si>
    <t>ET_034</t>
  </si>
  <si>
    <t xml:space="preserve"> transfers the total amount in 1 day is 500,000,000</t>
  </si>
  <si>
    <t>Open Ebanking and login successful
account with a balance greater than the sum of the transfer amount and the transaction fee
Successfully transferred 100 million 4 times
Test data:
Tài khoản gửi:  100003603
Số tiền trong tài khoản:         3,099,929,146 VNĐ
Tài khoản nhận: 10001111
Số tiền chuyển khoản: 99,999,999 VNĐ
Tên chủ tài khoản: Nguyen Van A</t>
  </si>
  <si>
    <t>ET_035</t>
  </si>
  <si>
    <t>Verify that error message is displayed when the user leave field blank</t>
  </si>
  <si>
    <t>all field</t>
  </si>
  <si>
    <t>Open Ebanking and login successful
account with a balance greater than the sum of the transfer amount and the transaction fee</t>
  </si>
  <si>
    <t>1. Open Ebanking and login 
2. Leave all fields is blank
3. Click [Chuyển tiền] button</t>
  </si>
  <si>
    <t>"Chọn tài khoản" message display
"Nhập số tài khoản nhận" message display
"Nhập tên người nhận" message display
"Mời chọn ngân hàng" message display
"Mời chọn chi nhánh" message display
"Nhập nội dung chuyển tiền" message display
"Số tiền chuyển khoản" message display</t>
  </si>
  <si>
    <t>ET_036</t>
  </si>
  <si>
    <t>1. Open Ebanking and login 
2. Don't select account number in [Chọn tài khoản] drop-down list
3. Click [Chuyển tiền] button</t>
  </si>
  <si>
    <t>error message shows "Chọn tài khoản"</t>
  </si>
  <si>
    <t>ET_037</t>
  </si>
  <si>
    <t>1. Open Ebanking and login 
2. Leave [Số tài khoản nhận] field is blank
3. Click [Chuyển tiền] button</t>
  </si>
  <si>
    <t>error message shows "Nhập số tài khoản"</t>
  </si>
  <si>
    <t>ET_038</t>
  </si>
  <si>
    <t>[Chọn ngân hàng] drop-down list</t>
  </si>
  <si>
    <t>1. Open Ebanking and login 
2. Don't select a bank in [Chọn ngân hàng] drop-down list
3. Click [Chuyển tiền] button</t>
  </si>
  <si>
    <t>error message shows "Mời chọn ngân hàng"</t>
  </si>
  <si>
    <t>ET_039</t>
  </si>
  <si>
    <t>[Chọn chi nhánh] drop-down list</t>
  </si>
  <si>
    <t>1. Open Ebanking and login 
2. Don't select branch in [Chọn chi nhánh] drop-down list
3. Click [Chuyển tiền] button</t>
  </si>
  <si>
    <t>error message shows "Mời chọn chi nhánh"</t>
  </si>
  <si>
    <t>ET_040</t>
  </si>
  <si>
    <t>[Nội dung chuyển tiền] field</t>
  </si>
  <si>
    <t>1. Open Ebanking and login 
2. Leave [Nội dung chuyển tiền] field is blank
3. Click [Chuyển tiền] button</t>
  </si>
  <si>
    <t>error message shows "Nhập nội dung chuyển tiền"</t>
  </si>
  <si>
    <t>Display [Xác nhận] page</t>
  </si>
  <si>
    <t>BugETM_05</t>
  </si>
  <si>
    <t>ET_041</t>
  </si>
  <si>
    <t>1. Open Ebanking and login 
2. Leave [Số tiền chuyển khoản] field is blank
3. Click [Chuyển tiền] button</t>
  </si>
  <si>
    <t>error message shows "Nhập số tiền chuyển khoản"</t>
  </si>
  <si>
    <t>Display an error page</t>
  </si>
  <si>
    <t>BugETM_06</t>
  </si>
  <si>
    <t>ET_042</t>
  </si>
  <si>
    <t>Verify that error message is displayed when the user enter space character in fields</t>
  </si>
  <si>
    <t>[Số tài khoản nhận] field</t>
  </si>
  <si>
    <t>1. Open Ebanking and login 
2. Enter value = space character in [Số tài khoản nhận] field
3. Click [Chuyển tiền] button</t>
  </si>
  <si>
    <t>error message shows "Nhập tài khoản nhận"</t>
  </si>
  <si>
    <t>ET_043</t>
  </si>
  <si>
    <t>1. Open Ebanking and login 
2. Enter value = space character in [Nội dung chuyển tiền] field
3. Click [Chuyển tiền] button</t>
  </si>
  <si>
    <t>BugETM_07</t>
  </si>
  <si>
    <t>ET_044</t>
  </si>
  <si>
    <t>1. Open Ebanking and login 
2. Enter value = space character in [Số tiền chuyển khoản] field
3. Click [Chuyển tiền] button</t>
  </si>
  <si>
    <t>error message shows "Số tiền chuyển khoản"</t>
  </si>
  <si>
    <t>An error page is displayed</t>
  </si>
  <si>
    <t>BugETM_08</t>
  </si>
  <si>
    <t>ET_045</t>
  </si>
  <si>
    <t>Verify that error message is displayed when the user enter invalid value in [Số tài khoản nhận] field</t>
  </si>
  <si>
    <t xml:space="preserve">input value = account number does not exist in [Số tài khoản nhận] field </t>
  </si>
  <si>
    <t xml:space="preserve">Open Ebanking and login successful
</t>
  </si>
  <si>
    <t>1. Open Ebanking and login 
2. Enter value = account number does not exist in [Số tài khoản nhận] field 
3. Enter valid value in the remaining fields
4. Click on [Chuyển tiền] button</t>
  </si>
  <si>
    <t>error message shows "Thông tin người hưởng không đúng"</t>
  </si>
  <si>
    <t>ET_046</t>
  </si>
  <si>
    <t>input value = account number has been locked in [Số tài khoản nhận] field</t>
  </si>
  <si>
    <t>1. Open Ebanking and login 
2. Enter value = account number has been locked in [Số tài khoản nhận] field
3. Enter valid value in the remaining fields
4. Click on [Chuyển tiền] button</t>
  </si>
  <si>
    <t>error message shows "Không thể thực hiện giao dịch"</t>
  </si>
  <si>
    <t>There are no locked accounts number to check</t>
  </si>
  <si>
    <t>ET_047</t>
  </si>
  <si>
    <t>input value = blocked account number in [Số tài khoản nhận] field</t>
  </si>
  <si>
    <t>1. Open Ebanking and login 
2. Enter value = blocked account number in [Số tài khoản nhận] field 
3. Enter valid value in the remaining fields
4. Click on [Chuyển tiền] button</t>
  </si>
  <si>
    <t>There are no blocked accounts number to check</t>
  </si>
  <si>
    <t>ET_048</t>
  </si>
  <si>
    <t>input value = Expired account number in [Số tài khoản nhận] field</t>
  </si>
  <si>
    <t>1. Open Ebanking and login 
2. Enter value = Expired account number in [Số tài khoản nhận] field 
3. Enter valid value in the remaining fields
4. Click on [Chuyển tiền] button</t>
  </si>
  <si>
    <t>There are no Expired account number to check</t>
  </si>
  <si>
    <t>ET_049</t>
  </si>
  <si>
    <t>input value = chacacters alphabet in [Số tài khoản nhận] field</t>
  </si>
  <si>
    <t>1. Open Ebanking and login 
2. Enter value = characters alphabet  in [Số tài khoản nhận] field
3. Enter valid value in the remaining fields
4. Click on [Chuyển tiền] button</t>
  </si>
  <si>
    <t>error message shows "Số tài khoản người nhận phải là số có một hoặc nhiều chữ số"</t>
  </si>
  <si>
    <t>ET_050</t>
  </si>
  <si>
    <t>Verify that error message is displayed when the user enter valid value in [Nội dung chuyển tiền] field</t>
  </si>
  <si>
    <t>input value = unicode character in [Nội dung chuyển tiền] field</t>
  </si>
  <si>
    <t>1. Open Ebanking and login 
2. Enter value = unicode characters in [Nội dung chuyển tiền] field
3. Enter valid value in the remaining fields
4. Click on [Chuyển tiền] button</t>
  </si>
  <si>
    <t>error message shows "Nội dung chuyển tiền không hợp lệ"</t>
  </si>
  <si>
    <t>BugETM_09</t>
  </si>
  <si>
    <t>ET_051</t>
  </si>
  <si>
    <t xml:space="preserve">input value = 101 characters ASCII in [Nội dung chuyển tiền] field </t>
  </si>
  <si>
    <t>1. Open Ebanking and login 
2. Enter value = 101 characters ASCII in [Nội dung chuyển tiền] field
3. Enter valid value in the remaining fields
4. Click [Chuyển tiền] button</t>
  </si>
  <si>
    <t xml:space="preserve">error message shows "size must be between 0 and 100" </t>
  </si>
  <si>
    <t>ET_052</t>
  </si>
  <si>
    <t xml:space="preserve">input value = special characters in [Nội dung chuyển tiền] field </t>
  </si>
  <si>
    <t>1. Open Ebanking and login 
2. Enter value = special characters in [Nội dung chuyển tiền] field
3. Enter valid value in the remaining fields
4. Click [Chuyển tiền] button</t>
  </si>
  <si>
    <t>BugETM_10</t>
  </si>
  <si>
    <t>ET_053</t>
  </si>
  <si>
    <t>Verify that error message is displayed when the user enter invalid value in [Số tiền chuyển khoản] field</t>
  </si>
  <si>
    <t>input value = 999 in [Số tiền chuyển khoản] field</t>
  </si>
  <si>
    <t>1. Open Ebanking and login 
2. Enter  value = 999 in [Số tiền chuyển khoản] field
3. Enter valid value in the remaining fields
4. Click [Chuyển tiền] button</t>
  </si>
  <si>
    <t xml:space="preserve">error message shows "Số tiền tối thiểu là 1,000 VND" </t>
  </si>
  <si>
    <t>BugETM_11</t>
  </si>
  <si>
    <t>ET_054</t>
  </si>
  <si>
    <t>input value = 0 in [Số tiền chuyển khoản] field</t>
  </si>
  <si>
    <t>1. Open Ebanking and login 
2. Enter value = 0 in [Số tiền chuyển khoản] field
3. Enter valid value in the remaining fields
4. Click [Chuyển tiền] button</t>
  </si>
  <si>
    <t>error message shows "Số tiền tối thiểu là 1,000 VND"</t>
  </si>
  <si>
    <t>BugETM_12</t>
  </si>
  <si>
    <t>ET_055</t>
  </si>
  <si>
    <t>input value = 100,000,001 in [Số tiền chuyển khoản] field</t>
  </si>
  <si>
    <t>1. Open Ebanking and login 
2. Enter value = 100,000,001 in [Số tiền chuyển khoản] field
3. Enter valid value in the remaining fields
4. Click [Chuyển tiền] button</t>
  </si>
  <si>
    <t>error message shows "Hạn mức tối đa là 100,000,000VND"</t>
  </si>
  <si>
    <t>BugETM_13</t>
  </si>
  <si>
    <t>ET_056</t>
  </si>
  <si>
    <t>input value = character alphabet in [Số tiền chuyển khoản] field</t>
  </si>
  <si>
    <t>1. Open Ebanking and login 
2. Enter value = characters alphabet in [Số tiền chuyển khoản] field
3. Enter valid value in the remaining fields
4. Click [Chuyển tiền] button</t>
  </si>
  <si>
    <t>error message shows "Số tiền chuyển khoản is not a number pattern."</t>
  </si>
  <si>
    <t>ET_057</t>
  </si>
  <si>
    <t>input value = special characters in [Số tiền chuyển khoản] field</t>
  </si>
  <si>
    <t>1. Open Ebanking and login 
2. Enter value = special characters in [Số tiền chuyển khoản] field
3. Enter valid value in the remaining fields
4. Click [Chuyển tiền] button</t>
  </si>
  <si>
    <t>error message shows "Số tiền chuyển khoản không hợp lệ"</t>
  </si>
  <si>
    <t>ET_058</t>
  </si>
  <si>
    <t>input  value containing comma ',' in [Số tiền chuyển khoản] field</t>
  </si>
  <si>
    <t xml:space="preserve">Open Ebanking and login successful
test data:
Tài khoản:	100003603
Số dư khả dụng	3,099,801,246 VNĐ
Số tài khoản nhận: 10001111
Tên tài khoản nhận: Nguyen Van A
Ngân hàng: Ngân hàng Đông Á
Chi Nhánh : Chi nhánh Đà Nẵng
Nội dung chuyển tiền: chuyen tien
Số tiền chuyển khoản: 10,000
</t>
  </si>
  <si>
    <t>1. Open Ebanking and login 
2. Enter value containing comma ',' in [Số tiền chuyển khoản] field
3. Enter valid value in the remaining fields
4. Click [Chuyển tiền] button</t>
  </si>
  <si>
    <t>BugETM_14</t>
  </si>
  <si>
    <t>ET_059</t>
  </si>
  <si>
    <t>input value = more than amount in account minus transaction fee in [Số tiền chuyển khoản] field</t>
  </si>
  <si>
    <t>Open Ebanking and login successful
TEST DATA: 
Tài khoản gửi:  100003604
Số tiền trong tài khoản: 100,000 VNĐ
Tài khoản nhận: 10001111
Số tiền chuyển khoản: 99000 VNĐ
Tên chủ tài khoản: Nguyen Van A</t>
  </si>
  <si>
    <t>1. Open Ebanking and login 
2. Enter valid value in all fields
3. Enter more than amount in account minus transaction fee in [Số tiền chuyển khoản] field
3. Click on [Chuyển tiền] button</t>
  </si>
  <si>
    <t>error message shows "Số tiền quá qui định"</t>
  </si>
  <si>
    <t xml:space="preserve">
Successful transfer and negative available balance = [Available balance] - ([Transfer amount] + [fee])</t>
  </si>
  <si>
    <t>BugETM_15</t>
  </si>
  <si>
    <t>ET_060</t>
  </si>
  <si>
    <t xml:space="preserve">Verify that returns default in [Số dư khả dụng] when the user click on "Chọn tài khoản" in [Chọn tài khoản] drop down list </t>
  </si>
  <si>
    <t>1. Open Ebanking and login 
2. Select account number
3. Select "Chọn tài khoản"</t>
  </si>
  <si>
    <t>returns defaul "0 VNĐ" in [Số dư khả dụng]</t>
  </si>
  <si>
    <t>Not returns defaul "0 VNĐ" in [Số dư khả dụng]</t>
  </si>
  <si>
    <t>BugETM_16</t>
  </si>
  <si>
    <t>ET_061</t>
  </si>
  <si>
    <t>Verify that user can search by bank in [Chọn tài khoản] dropdown list</t>
  </si>
  <si>
    <t>1. Open Ebanking and login 
2. Click on [Chọn tài khoản] drop down list</t>
  </si>
  <si>
    <t xml:space="preserve">Drop down list can input value </t>
  </si>
  <si>
    <t xml:space="preserve">Drop down list can not input value </t>
  </si>
  <si>
    <t>BugETM_17</t>
  </si>
  <si>
    <t>ET_062</t>
  </si>
  <si>
    <t>Verify that user can search by bank in [Chọn ngân hàng] dropdown list</t>
  </si>
  <si>
    <t>1. Open Ebanking and login 
2. Click on [Chọn ngân hàng] drop down list</t>
  </si>
  <si>
    <t>ET_063</t>
  </si>
  <si>
    <t>Verify that user can search by branch in [Chọn chi nhánh] dropdown list</t>
  </si>
  <si>
    <t>1. Open Ebanking and login 
2. Click on [Chọn chi nhánh] drop down list</t>
  </si>
  <si>
    <t>ET_064</t>
  </si>
  <si>
    <t>Verify that default fee is 3,300 vnd when external tranfer</t>
  </si>
  <si>
    <t>PASS ET_014</t>
  </si>
  <si>
    <t>1. Enter valid value in all fields in [information transaction] page
2. Click on [Chuyển tiền] button
3. Observe lable</t>
  </si>
  <si>
    <t>default fee is 3,300 vnd</t>
  </si>
  <si>
    <t>ET_065</t>
  </si>
  <si>
    <t xml:space="preserve">Verify that don't display list Bank branch in [Chọn chi nhánh] drop down list when the user has not selected a bank
</t>
  </si>
  <si>
    <t>1. Open Ebanking and login 
2. Don't enter value in all field
3. Click on [Chọn chi nhánh] drop down list and observe</t>
  </si>
  <si>
    <t>Not display list bank branch</t>
  </si>
  <si>
    <t>ET_066</t>
  </si>
  <si>
    <t>Verify that returns default in [Chọn chi nhánh] drop down list when the user changes bank</t>
  </si>
  <si>
    <t>1. Open Ebanking and login 
2. Enter valid value in all fields
3. Change bank
4. observe [Chọn chi nhánh] drop down list</t>
  </si>
  <si>
    <t>returns default in [Chọn chi nhánh] drop down list</t>
  </si>
  <si>
    <t>ET_067</t>
  </si>
  <si>
    <t xml:space="preserve">Verify that reset data in all fields when the user exit the function and then re-enter the function </t>
  </si>
  <si>
    <t>1. Open Ebanking and login 
2. Enter value in fields
3. Click on [Thông tin tài khoản] button in menu
4. Click on [Liên ngân hàng] button in menu
5. Observe content of all fields</t>
  </si>
  <si>
    <t>reset data in all field</t>
  </si>
  <si>
    <t>Not reset data in [Số dư khả dụng]  lable and [Chọn ngân hàng] drop down list</t>
  </si>
  <si>
    <t>BugETM_18</t>
  </si>
  <si>
    <t>ET_068</t>
  </si>
  <si>
    <t>Verify that information is matching with transaction information [information transaction] page when the user enter valid value in all fields</t>
  </si>
  <si>
    <t>1. Enter valid value in all fields 
2. Click on [Chuyển tiền] button
3. Observe information in [Xác nhận] page</t>
  </si>
  <si>
    <t>Information of [Xác nhận] page correct with information of all fields</t>
  </si>
  <si>
    <t>don't display information in "Phí"</t>
  </si>
  <si>
    <t>BugETM_19</t>
  </si>
  <si>
    <t>ET_069</t>
  </si>
  <si>
    <t>Verify that data is not changed in all fields in [transaction information] page when the user click [Xác nhận] button then return to [information transaction] page</t>
  </si>
  <si>
    <t>1. Enter valid value in all fields 
2. Click on [Chuyển tiền] button
3. return to [information transaction] page
4. Observe information in all fields</t>
  </si>
  <si>
    <t>data is not changed in all fields in [transaction information] page</t>
  </si>
  <si>
    <t>data is changed in [Chọn chi nhánh] drop down list</t>
  </si>
  <si>
    <t>BugETM_20</t>
  </si>
  <si>
    <t>ET_070</t>
  </si>
  <si>
    <t>Verify that  captcha is generated when the user click [Chuyển tiền] button in [information transaction] page</t>
  </si>
  <si>
    <t>1. Enter valid value in all fields
2. Observe captcha</t>
  </si>
  <si>
    <t>Display captcha in the end of [Xác nhận] page</t>
  </si>
  <si>
    <t>The system does not generate captcha and display [Captcha] field</t>
  </si>
  <si>
    <t>ET_071</t>
  </si>
  <si>
    <t>Verify display [Chuyển khoản] page when the user enter correct captcha in captcha field</t>
  </si>
  <si>
    <t>PASS ET_068</t>
  </si>
  <si>
    <t>1. Enter correct captcha in [Captcha] field
2. Click on [Xác nhận] button</t>
  </si>
  <si>
    <t>Display [Chuyển khoản] page</t>
  </si>
  <si>
    <t>Don't PASS ET_070</t>
  </si>
  <si>
    <t>ET_072</t>
  </si>
  <si>
    <t>Verify error message is displayed when the user enter incorrect captcha in captcha field</t>
  </si>
  <si>
    <t>1. Enter incorrect captcha in [Captcha] field
2. Click on [Xác nhận] button</t>
  </si>
  <si>
    <t>"Sai mã xác thực" message display</t>
  </si>
  <si>
    <t>ET_073</t>
  </si>
  <si>
    <t>Verify that error message is displayed when the user leave captcha field is blank</t>
  </si>
  <si>
    <t>1. Leave in [Captcha] field is blank
2. Click on [Xác nhận] button</t>
  </si>
  <si>
    <t>"Yêu cầu nhập liệu" message display</t>
  </si>
  <si>
    <t>ET_074</t>
  </si>
  <si>
    <t>Verify that captcha is changed when user enter invalid value in captcha field</t>
  </si>
  <si>
    <t>1. Enter invalid captcha
2. Observe captcha image</t>
  </si>
  <si>
    <t>captcha is changed</t>
  </si>
  <si>
    <t>ET_075</t>
  </si>
  <si>
    <t xml:space="preserve">Verify that captcha is changed when the user return to [information transaction] page and click on [Chuyển tiền] button </t>
  </si>
  <si>
    <t xml:space="preserve">1. enter valid value in all fields
2. Click on [Chuyển tiền] button in [information transaction] page
3. return to [information transaction] page 
4. click on [Chuyển tiền] button </t>
  </si>
  <si>
    <t>ET_076</t>
  </si>
  <si>
    <t>Verify that OPT code is sent via email when the user click on [Xác nhận] button</t>
  </si>
  <si>
    <t>1. Enter correct capcha in [Capcha] field
2. Click on [Xác nhận] button
3. Check email</t>
  </si>
  <si>
    <t>send OTP to user via email</t>
  </si>
  <si>
    <t>[Chuyển khoản] page</t>
  </si>
  <si>
    <t>ET_077</t>
  </si>
  <si>
    <t>Verify that successfully external transfer money when the user enter valid value in [Mã giao dịch] field</t>
  </si>
  <si>
    <t>PASS ET_076</t>
  </si>
  <si>
    <t>1. Enter correct OTP in [Mã giao dịch] field
2. Click on [Chuyển tiền] button</t>
  </si>
  <si>
    <t>Transfer money successful
"Chuyển tiền thành công" message display</t>
  </si>
  <si>
    <t>ET_078</t>
  </si>
  <si>
    <t>Verify that error message is displayed when the user leave blank in [Mã giao dịch] field</t>
  </si>
  <si>
    <t>1. Leave [Mã giao dịch] field is blank
2. Click on [Chuyển tiền] button</t>
  </si>
  <si>
    <t>"Sai OTP" message display</t>
  </si>
  <si>
    <t>BugETM_21</t>
  </si>
  <si>
    <t>ET_079</t>
  </si>
  <si>
    <t>Verify that error message is displayed when the user enter valid value in [Mã giao dịch] field</t>
  </si>
  <si>
    <t>Input value = invalid value in [Mã giao dịch] field</t>
  </si>
  <si>
    <t>1. Enter invalid value OTP in [Mã giao dịch] field
2. Click on [Chuyển tiền] button</t>
  </si>
  <si>
    <t>"Sai mã giao dịch" message display</t>
  </si>
  <si>
    <t>ET_080</t>
  </si>
  <si>
    <t>Input value = OTP has expired more than 3 minutes in [Mã giao dịch] field</t>
  </si>
  <si>
    <t>1. Enter expired OTP in [Mã giao dịch] field
2. Click on [Chuyển tiền] button</t>
  </si>
  <si>
    <t>Transfer successful
"Chuyển khoản thành công" message display</t>
  </si>
  <si>
    <t>BugETM_22</t>
  </si>
  <si>
    <t>ET_081</t>
  </si>
  <si>
    <t>Input value = incorrect OTP in [Mã giao dịch] field is less than 4 times</t>
  </si>
  <si>
    <t>1. Enter incorrect OTP in [Mã giao dịch] field is less than 4 times
2. Click on [Chuyển tiền] button</t>
  </si>
  <si>
    <t>ET_082</t>
  </si>
  <si>
    <t>Verify that account lock when the user enter wrong OTP for the 5th time</t>
  </si>
  <si>
    <t>PASS ET_081</t>
  </si>
  <si>
    <t>1. Enter incorrect OTP for the 5th time
2. Click on [Chuyển tiền] button</t>
  </si>
  <si>
    <t>account is locked
"Tài khoản của bạn bị tạm khóa" ,message display</t>
  </si>
  <si>
    <t>account is not locked</t>
  </si>
  <si>
    <t>BugETM_23</t>
  </si>
  <si>
    <t>ET_083</t>
  </si>
  <si>
    <t>Verify that OTP does not expire when the user enter  incorrect value in [Mã giao dịch] field</t>
  </si>
  <si>
    <t>1. Enter incorrect value in [Mã giao dịch] field
2. Click on [Chuyển tiền] button
3. Enter correct value in [Mã giao dịch] field
4. Click on [Chuyển tiền] button</t>
  </si>
  <si>
    <t>OTP does not expire</t>
  </si>
  <si>
    <t>OTP has expired
"Sai OTP" message display</t>
  </si>
  <si>
    <t>BugETM_24</t>
  </si>
  <si>
    <t>ET_084</t>
  </si>
  <si>
    <t>Verify that No information is lost when the user enter incorrect value in [Mã giao dịch] field</t>
  </si>
  <si>
    <t>Information remains the same</t>
  </si>
  <si>
    <t>lost transaction information</t>
  </si>
  <si>
    <t>BugETM_25</t>
  </si>
  <si>
    <t>ET_085</t>
  </si>
  <si>
    <t>Verify that send an email to user when the user successfully external transfer money</t>
  </si>
  <si>
    <t>PASS ET_077</t>
  </si>
  <si>
    <t>1. Enter correct value in [Mã giao dịch] field
2. Click on [Chuyển tiền] button
3. Check email</t>
  </si>
  <si>
    <t>send transaction information to user by email</t>
  </si>
  <si>
    <t>ET_086</t>
  </si>
  <si>
    <t>Verify that send sms message to user when user successfully transfers money</t>
  </si>
  <si>
    <t>1. Enter correct value in [Mã giao dịch] field
2. Click on [Chuyển tiền] button
3. Check SMS</t>
  </si>
  <si>
    <t>send transaction information to user by SMS</t>
  </si>
  <si>
    <t>The system does not verify the phone number</t>
  </si>
  <si>
    <t>ET_087</t>
  </si>
  <si>
    <t>Verify that Transaction history is saved in [Nhật ký giao dịch] page when the user successfully transfer money</t>
  </si>
  <si>
    <t>1. Transfer money successful
2. Check history transaction</t>
  </si>
  <si>
    <t>Transaction history is saved</t>
  </si>
  <si>
    <t>ET_088</t>
  </si>
  <si>
    <t>Verify that Transaction history is saved in [Tài khoản] page when the user successfully transfer money</t>
  </si>
  <si>
    <t>ET_089</t>
  </si>
  <si>
    <t>Verify that reset data in all fields when the user successfully transfer money</t>
  </si>
  <si>
    <t>1. Transfer money successful
2. Observe in all fields</t>
  </si>
  <si>
    <t>Reset data in all fields</t>
  </si>
  <si>
    <t>Not reset data in all fields</t>
  </si>
  <si>
    <t>BugETM_26</t>
  </si>
  <si>
    <t>ET_090</t>
  </si>
  <si>
    <t>Verify that the recipient's account balance is correct when the user successfully transfer money</t>
  </si>
  <si>
    <t>1. Transfer money successful
2. Check recipient's account balance</t>
  </si>
  <si>
    <t>The recipient's account balance increases by an amount equal to the amount entered in [Số tiền chuyển khoản] field</t>
  </si>
  <si>
    <t>Cannot access the recipient account to test</t>
  </si>
  <si>
    <t>ET_091</t>
  </si>
  <si>
    <t>Verify that User's account balance is correct when the user successfully transfer money</t>
  </si>
  <si>
    <t>1. successfully transfer money
2. Click on [Tài khoản] button
3. Click on account number
4. Observe user's account balance</t>
  </si>
  <si>
    <t>The user's account balance is reduced by the amount entered in the [Transfer amount] field + transaction fee</t>
  </si>
  <si>
    <t>ET_092</t>
  </si>
  <si>
    <t>Verify that User can check transaction after successful transfer</t>
  </si>
  <si>
    <t>[Nhật kí giao dịch] page</t>
  </si>
  <si>
    <t xml:space="preserve">1. successfully transfer money
2. Click on [Nhật ký giao dịch] button
3. Check transaction </t>
  </si>
  <si>
    <t>Display history transaction</t>
  </si>
  <si>
    <t>ET_093</t>
  </si>
  <si>
    <t>Email</t>
  </si>
  <si>
    <t>1. successfully transfer money
2. Check transaction via email</t>
  </si>
  <si>
    <t>display information transaction</t>
  </si>
  <si>
    <t>ET_094</t>
  </si>
  <si>
    <t>Verify that Admin can check the transaction in [Nhật kí giao dịch] page when the user successfully transfers money</t>
  </si>
  <si>
    <t>[Theo khách hàng] button</t>
  </si>
  <si>
    <t>1. Go to the administrator's website
2. Click on [Theo khách hàng] button
3. enter valid value in all fields
4. Check transaction</t>
  </si>
  <si>
    <t>ET_095</t>
  </si>
  <si>
    <t>[Theo ngày] button</t>
  </si>
  <si>
    <t>ET_096</t>
  </si>
  <si>
    <t>Verify that homepage is displayed when the user clicks on the back button after successfully transferring money</t>
  </si>
  <si>
    <t>1. Open Ebanking and login 
2. Enter valid value in all fiels
4. Click [Chuyển tiền] button
5. Click on back button of browser</t>
  </si>
  <si>
    <t>Homepage is displayed</t>
  </si>
  <si>
    <t>HT_001</t>
  </si>
  <si>
    <t>Verify that UI and content of [Nhật ký giao dịch] page</t>
  </si>
  <si>
    <r>
      <rPr>
        <sz val="10"/>
        <rFont val="Arial"/>
        <charset val="134"/>
      </rPr>
      <t xml:space="preserve">Open </t>
    </r>
    <r>
      <rPr>
        <u/>
        <sz val="10"/>
        <color rgb="FF1155CC"/>
        <rFont val="Arial"/>
        <charset val="134"/>
      </rPr>
      <t>http://14.176.232.213:8080/EBankingWebsite/faces/transaction.xhtml</t>
    </r>
    <r>
      <rPr>
        <sz val="10"/>
        <rFont val="Arial"/>
        <charset val="134"/>
      </rPr>
      <t xml:space="preserve"> page
login successful</t>
    </r>
  </si>
  <si>
    <t>1. Open history transaction page
2. Observe UI and content</t>
  </si>
  <si>
    <t>screen have all fields, [Tìm kiếm] button and display as design
all fields have the same size</t>
  </si>
  <si>
    <t>all fields haven't the same size</t>
  </si>
  <si>
    <t>BugHTU_001</t>
  </si>
  <si>
    <t>HT_002</t>
  </si>
  <si>
    <t>1. Open history transaction page
2. Observe UI and content of drop down list</t>
  </si>
  <si>
    <t>Lable is "Tài khoản" and displayed as design
Default status of text field is 'Chọn tài khoản'
This is required</t>
  </si>
  <si>
    <t>HT_003</t>
  </si>
  <si>
    <t>1. Open history transaction page
2. Observe UI and content of [Từ ngày] field</t>
  </si>
  <si>
    <t>Lable is "Từ ngày" and displayed as design
Default status of text field is empty
This is required</t>
  </si>
  <si>
    <t>HT_004</t>
  </si>
  <si>
    <t>1. Open history transaction page
2. Observe UI and content of [Đến ngày] field</t>
  </si>
  <si>
    <t>Lable is "Đến ngày" and displayed as design
Default status of text field is empty
This is required</t>
  </si>
  <si>
    <t>HT_005</t>
  </si>
  <si>
    <t>Verify that UI and content of history transaction table</t>
  </si>
  <si>
    <t>column</t>
  </si>
  <si>
    <t>1. Open history transaction page
2. Observe UI and content of table</t>
  </si>
  <si>
    <t>Screen have all column and displayed as design</t>
  </si>
  <si>
    <t>HT_006</t>
  </si>
  <si>
    <t>page button</t>
  </si>
  <si>
    <t>button display as design</t>
  </si>
  <si>
    <t>HT_007</t>
  </si>
  <si>
    <t>first button</t>
  </si>
  <si>
    <t>HT_008</t>
  </si>
  <si>
    <t>HT_009</t>
  </si>
  <si>
    <t>HT_010</t>
  </si>
  <si>
    <t>Last button</t>
  </si>
  <si>
    <t>HT_011</t>
  </si>
  <si>
    <t>[row] drop down list</t>
  </si>
  <si>
    <t>Display with content [5,10,15] and display as design</t>
  </si>
  <si>
    <t>HT_012</t>
  </si>
  <si>
    <t>[Truy xuất] button</t>
  </si>
  <si>
    <t xml:space="preserve">Lable is "Truy xuất" and display as design
</t>
  </si>
  <si>
    <t>HT_013</t>
  </si>
  <si>
    <t>Verify Unicode characters are displayed without errors</t>
  </si>
  <si>
    <t xml:space="preserve">Input valid value and click on [Tìm kiếm] button
The result table has data
</t>
  </si>
  <si>
    <t>1. Open history transaction page
2. Enter valid value in all field
3. Click on [Tìm kiếm] button
4. Observe value in table</t>
  </si>
  <si>
    <t>Unicode characters are displayed without errors</t>
  </si>
  <si>
    <t>Unicode characters are displayed with errors</t>
  </si>
  <si>
    <t>BugHTU_002</t>
  </si>
  <si>
    <t>HT_014</t>
  </si>
  <si>
    <t>Verify that Transaction history information is displayed when the user enter existed value in all fields</t>
  </si>
  <si>
    <t xml:space="preserve">Open history transaction page and login successful
User must have an account
Test data:
Tài khoản: 100003603
Từ ngày: 03-08-2023
Đến ngày: 31-08-2023
</t>
  </si>
  <si>
    <t>1. Open history transaction page
2. Select valid value in [Chọn tài khoản] drop down list
3. Click on [Tìm kiếm] button</t>
  </si>
  <si>
    <t>Transaction history information is displayed correctly with value of [Từ ngày] to value of [Đến ngày] field</t>
  </si>
  <si>
    <t>Transaction history information is displayed incorrectly with the value from [Từ ngày] to the [Đến ngày] field value</t>
  </si>
  <si>
    <t>BugHTU_003</t>
  </si>
  <si>
    <t>HT_015</t>
  </si>
  <si>
    <t>input value = correct date format in [Từ ngày] field</t>
  </si>
  <si>
    <t>1. Open history transaction page
2. Enter value = date data type in [Từ ngày] field
3. Click on [Tìm kiếm] button</t>
  </si>
  <si>
    <t>HT_016</t>
  </si>
  <si>
    <t>Select a date from the calendar in  [Từ ngày] field</t>
  </si>
  <si>
    <t>1. Open history transaction page
2. Select a date from the calendar in  [Từ ngày] field
3. Click on [Tìm kiếm] button</t>
  </si>
  <si>
    <t>HT_017</t>
  </si>
  <si>
    <t>Input value = more than or equal 01-01-1900 in [Từ ngày] field</t>
  </si>
  <si>
    <t>1. Open history transaction page
2. Enter value = more than 01-01-1900 in [Từ ngày] field
3. Click on [Tìm kiếm] button</t>
  </si>
  <si>
    <t>HT_018</t>
  </si>
  <si>
    <t>Input value = less than or equal 31-12-2100 in [Từ ngày] field</t>
  </si>
  <si>
    <t>1. Open history transaction page
2. Enter value = less than or equal 31-12-2100 in [Từ ngày] field
3. Click on [Tìm kiếm] button</t>
  </si>
  <si>
    <t>HT_019</t>
  </si>
  <si>
    <t>input value = correct date format in [Đến ngày] field</t>
  </si>
  <si>
    <t>1. Open history transaction page
2. Enter value = date data type in [Đến ngày] field
3. Click on [Tìm kiếm] button</t>
  </si>
  <si>
    <t>HT_020</t>
  </si>
  <si>
    <t>Select a date from the calendar in  [Đến ngày] field</t>
  </si>
  <si>
    <t>1. Open history transaction page
2. Select a date from the calendar in  [Đến ngày] field
3. Click on [Tìm kiếm] button</t>
  </si>
  <si>
    <t>HT_021</t>
  </si>
  <si>
    <t>Input value = more than or equal 01-01-1900 in [Đến ngày] field</t>
  </si>
  <si>
    <t>1. Open history transaction page
2. Enter value = more than 01-01-1900 in [Đến ngày] field
3. Click on [Tìm kiếm] button</t>
  </si>
  <si>
    <t>HT_022</t>
  </si>
  <si>
    <t>Input value = less than or equal 31-12-2100 in [Đến ngày] field</t>
  </si>
  <si>
    <t>1. Open history transaction page
2. Enter value = less than or equal 31-12-2100 in [Đến ngày] field
3. Click on [Tìm kiếm] button</t>
  </si>
  <si>
    <t>HT_023</t>
  </si>
  <si>
    <t xml:space="preserve">input value = date data type in [Đến ngày] field more than or equal [Từ ngày] field </t>
  </si>
  <si>
    <t>1. Open history transaction page
2. Enter value = date data type in [Đến ngày] field more than [Từ ngày] field 
3. Click on [Tìm kiếm] button</t>
  </si>
  <si>
    <t>HT_024</t>
  </si>
  <si>
    <t>Select a date from the calendar in  [Đến ngày] field more than [Từ ngày] field</t>
  </si>
  <si>
    <t>1. Open history transaction page
2. Select a date from the calendar in  [Đến ngày] field more than [Từ ngày] field
3. Click on [Tìm kiếm] button</t>
  </si>
  <si>
    <t>HT_025</t>
  </si>
  <si>
    <t>Verify that display correct date on calendar when the user enter valid value into [Từ ngày] field or [Đến ngày] field</t>
  </si>
  <si>
    <t xml:space="preserve">Open history transaction page and login successful
Test data:
Tài khoản: 100003603
Từ ngày: 28-08-2023
Đến ngày: 31-08-2023
</t>
  </si>
  <si>
    <t>1. Open history transaction page
2. Enter valid value into [Từ ngày] field or [Đến ngày] field
3. Observe calendar</t>
  </si>
  <si>
    <t>display date on calendar matching with value in field</t>
  </si>
  <si>
    <t>HT_026</t>
  </si>
  <si>
    <t>Verify that can select the year or month in the calendar when the user clicks on the calendar</t>
  </si>
  <si>
    <t>Open history transaction page and login successful</t>
  </si>
  <si>
    <t>1. Open history transaction page
2. Click on calendar</t>
  </si>
  <si>
    <t>can select the year or month in the calendar</t>
  </si>
  <si>
    <t>can not select the year or month in the calendar</t>
  </si>
  <si>
    <t>BugHTU_004</t>
  </si>
  <si>
    <t>HT_027</t>
  </si>
  <si>
    <t>Verify that Display search results sorted descending by date when the user enter valid value in all fields</t>
  </si>
  <si>
    <t>1. Open history transaction page
2. Enter valid value in all fields
3. Click on [Tìm kiếm] button</t>
  </si>
  <si>
    <t>Display search results sorted descending by [Ngày giao dịch] column</t>
  </si>
  <si>
    <t>HT_028</t>
  </si>
  <si>
    <t>Verify that display a message in the table when no data is found</t>
  </si>
  <si>
    <t>Input valid value and click on [Tìm kiếm] button
The result table hasn't data</t>
  </si>
  <si>
    <t>Display the content in the table is "No records found."</t>
  </si>
  <si>
    <t>HT_029</t>
  </si>
  <si>
    <t>Verify that error message is displayed when the user leave blank in field</t>
  </si>
  <si>
    <t>1. Open history transaction page
2. Leave blank in all fields
3. Click on [Tìm kiếm] button</t>
  </si>
  <si>
    <t>error message shows "Mời chọn tài khoản"
error message shows "Từ ngày: Validation Error: Value is required."
error message shows "Đến ngày: Validation Error: Value is required."</t>
  </si>
  <si>
    <t>HT_030</t>
  </si>
  <si>
    <t>1. Open history transaction page
2. Not select value in [Chọn tài khoản] drop down list
3. Click on [Tìm kiếm] button</t>
  </si>
  <si>
    <t>error message shows "Mời chọn tài khoản"</t>
  </si>
  <si>
    <t>HT_031</t>
  </si>
  <si>
    <t>1. Open history transaction page
2. Leave [Từ ngày] field is blank
3. Click on [Tìm kiếm] button</t>
  </si>
  <si>
    <t xml:space="preserve">
error message shows "Từ ngày: Validation Error: Value is required."
</t>
  </si>
  <si>
    <t>HT_032</t>
  </si>
  <si>
    <t>1. Open history transaction page
2. Leave [Đến ngày] field is blank
3. Click on [Tìm kiếm] button</t>
  </si>
  <si>
    <t>error message shows "Đến ngày: Validation Error: Value is required."</t>
  </si>
  <si>
    <t>HT_033</t>
  </si>
  <si>
    <t>Verify that error message is displayed when the user enter invalid value in [Từ ngày] field</t>
  </si>
  <si>
    <t>Input value = alphanumberic characters in [Từ ngày] field</t>
  </si>
  <si>
    <t>1. Open history transaction page
2. Enter value = alphanumberic characters in [Từ ngày] field
3. Click on [Tìm kiếm] button</t>
  </si>
  <si>
    <t>Unable to input</t>
  </si>
  <si>
    <t>HT_034</t>
  </si>
  <si>
    <t>Input value = date does not exist in [Từ ngày] field</t>
  </si>
  <si>
    <t xml:space="preserve">Open history transaction page and login successful
Test data:
Tài khoản: 100003603
Từ ngày: 10-00-0000
Đến ngày: 28-08-2023
</t>
  </si>
  <si>
    <t>1. Open history transaction page
2. Enter value = date does not exist in [Từ ngày] field
3. Click on [Tìm kiếm] button</t>
  </si>
  <si>
    <t>error message shows "Từ ngày: '10-00-0000' could not be understood as a date. Example: 02-09-2023"</t>
  </si>
  <si>
    <t>HT_035</t>
  </si>
  <si>
    <t>Input value = less than 01-01-1900 in [Từ ngày] field</t>
  </si>
  <si>
    <t xml:space="preserve">Open history transaction page and login successful
Test data:
Tài khoản: 100003603
Từ ngày: 10-11-1111
Đến ngày: 28-08-2023
</t>
  </si>
  <si>
    <t>1. Open history transaction page
2. Enter value = less than 01-01-1900 in [Từ ngày] field
3. Click on [Tìm kiếm] button</t>
  </si>
  <si>
    <t>error message shows "Ngày không hợp lệ"</t>
  </si>
  <si>
    <t>error message is not displayed</t>
  </si>
  <si>
    <t>BugHTU_005</t>
  </si>
  <si>
    <t>HT_036</t>
  </si>
  <si>
    <t>Input value = more than 31-12-2100 in [Từ ngày] field</t>
  </si>
  <si>
    <t xml:space="preserve">Open history transaction page and login successful
Test data:
Tài khoản: 100003603
Từ ngày: 10-11-2200
Đến ngày: 10-11-2200
</t>
  </si>
  <si>
    <t>1. Open history transaction page
2. Enter value = more than 31-12-2100 in [Từ ngày] field
3. Click on [Tìm kiếm] button</t>
  </si>
  <si>
    <t>BugHTU_006</t>
  </si>
  <si>
    <t>HT_037</t>
  </si>
  <si>
    <t xml:space="preserve">Input value = wrong date format 'dd-mm-yyyy' in field [Từ ngày] </t>
  </si>
  <si>
    <t xml:space="preserve">Open history transaction page and login successful
Test data:
Tài khoản: 100003603
Từ ngày: 2-8-2023
Đến ngày: 8-8-2023
</t>
  </si>
  <si>
    <t>1. Open history transaction page
2. Enter value = wrong date format 'dd-mm-yyyy' in field [Từ ngày] 
3. Click on [Tìm kiếm] button</t>
  </si>
  <si>
    <t>error message shows "Định dạng ngày không hợp lệ. Sử dụng: 'dd-mm-yyyy'."</t>
  </si>
  <si>
    <t>BugHTU_007</t>
  </si>
  <si>
    <t>HT_038</t>
  </si>
  <si>
    <t>Verify that error message is displayed when the user enter invalid value in [Đến ngày] field</t>
  </si>
  <si>
    <t>Input value = alphanumberic characters in [Đến ngày] field</t>
  </si>
  <si>
    <t>1. Open history transaction page
2. Enter value = alphanumberic characters in [Đến ngày] field
3. Click on [Tìm kiếm] button</t>
  </si>
  <si>
    <t>HT_039</t>
  </si>
  <si>
    <t>Input value = date does not exist in [Đến ngày] field</t>
  </si>
  <si>
    <t xml:space="preserve">Open history transaction page and login successful
Test data:
Tài khoản: 100003603
Từ ngày: 10-08-2023
Đến ngày: 28-08-2023
</t>
  </si>
  <si>
    <t>1. Open history transaction page
2. Enter value = date does not exist in [Đến ngày] field
3. Click on [Tìm kiếm] button</t>
  </si>
  <si>
    <t>HT_040</t>
  </si>
  <si>
    <t>Input value = less than 01-01-1900 in [Đến ngày] field</t>
  </si>
  <si>
    <t>1. Open history transaction page
2. Enter value = less than 01-01-1900 in [Đến ngày] field
3. Click on [Tìm kiếm] button</t>
  </si>
  <si>
    <t>BugHTU_008</t>
  </si>
  <si>
    <t>HT_041</t>
  </si>
  <si>
    <t>Input value = more than 31-12-2100 in [Đến ngày] field</t>
  </si>
  <si>
    <t xml:space="preserve">Open history transaction page and login successful
Test data:
Tài khoản: 100003603
Từ ngày: 28-08-2023
Đến ngày: 28-08-2200
</t>
  </si>
  <si>
    <t>BugHTU_009</t>
  </si>
  <si>
    <t>HT_042</t>
  </si>
  <si>
    <t>Input value in the field [Đến ngày] that is smaller than the value in filed [Từ ngày]</t>
  </si>
  <si>
    <t xml:space="preserve">Open history transaction page and login successful
Test data:
Tài khoản: 100003603
Từ ngày: 28-08-2023
Đến ngày: 20-08-2023
</t>
  </si>
  <si>
    <t>1. Open history transaction page
2. Enter a value in the field [Đến ngày] that is smaller than the value in filed [Từ ngày]
3. Click on [Tìm kiếm] button</t>
  </si>
  <si>
    <t>BugHTU_010</t>
  </si>
  <si>
    <t>HT_043</t>
  </si>
  <si>
    <t xml:space="preserve">Input value = wrong date format 'dd-mm-yyyy' in field [Đến ngày] </t>
  </si>
  <si>
    <t>1. Open history transaction page
2. Enter value = wrong date format 'dd-mm-yyyy' in field [Đến ngày] 
3. Click on [Tìm kiếm] button</t>
  </si>
  <si>
    <t>BugHTU_011</t>
  </si>
  <si>
    <t>HT_044</t>
  </si>
  <si>
    <t xml:space="preserve">Verify that Change the data according to the current date in the message displayed when the user enter invalid value in field </t>
  </si>
  <si>
    <t>Open history transaction page and login successful
Enter valid value
Getdate: 05-09-2023</t>
  </si>
  <si>
    <t>1. Open history transaction page
2. Enter invalid value in field [Từ ngày] 
3. Click on [Tìm kiếm] button</t>
  </si>
  <si>
    <t>error message shows "Từ ngày: '10-00-0000' could not be understood as a date.
Từ ngày: '10-00-0000' could not be understood as a date. Example: 05-09-2023."</t>
  </si>
  <si>
    <t>HT_045</t>
  </si>
  <si>
    <t>1. Open history transaction page
2. Enter invalid value in field [Đến ngày] 
3. Click on [Tìm kiếm] button</t>
  </si>
  <si>
    <t>error message shows "Đến ngày: '10-00-0000' could not be understood as a date.
Đến ngày: '10-00-0000' could not be understood as a date. Example: 05-09-2023"</t>
  </si>
  <si>
    <t>HT_046</t>
  </si>
  <si>
    <t>Verify that The table is sorted ascending by column when the user clicks on the column name once</t>
  </si>
  <si>
    <t xml:space="preserve">The result table has data
Unsorted column
</t>
  </si>
  <si>
    <t>1. Open history transaction page
2. Enter valid value in all field
3. Click on [Tìm kiếm] button
4. Click on [Hình thức] column name once
5. Observe table</t>
  </si>
  <si>
    <t>The table is sorted ascending by [Hình thức] column from a-z</t>
  </si>
  <si>
    <t>HT_047</t>
  </si>
  <si>
    <t>1. Open history transaction page
2. Enter valid value in all field
3. Click on [Tìm kiếm] button
4. Click on [+/-] column name once
5. Observe table</t>
  </si>
  <si>
    <t>The table is arranged in ascending [+/-] column: add first, subtract later</t>
  </si>
  <si>
    <t>HT_048</t>
  </si>
  <si>
    <t>1. Open history transaction page
2. Enter valid value in all field
3. Click on [Tìm kiếm] button
4. Click on [Số tiền giao dịch] column name once
5. Observe table</t>
  </si>
  <si>
    <t xml:space="preserve">The table is sorted ascending by [Số tiền giao dịch] column </t>
  </si>
  <si>
    <t>HT_049</t>
  </si>
  <si>
    <t>1. Open history transaction page
2. Enter valid value in all field
3. Click on [Tìm kiếm] button
4. Click on [Ngày giao dịch] column name once
5. Observe table</t>
  </si>
  <si>
    <t xml:space="preserve">The table is sorted ascending by [Ngày giao dịch] column </t>
  </si>
  <si>
    <t>HT_050</t>
  </si>
  <si>
    <t>Verify that Table is sorted descending by column when the user clicks on column name twice</t>
  </si>
  <si>
    <t>The table is sorted descending by column [Hình thức] from z-a</t>
  </si>
  <si>
    <t>HT_051</t>
  </si>
  <si>
    <t>The table is arranged in descending [+/-] column: subtract first, add later</t>
  </si>
  <si>
    <t>HT_052</t>
  </si>
  <si>
    <t xml:space="preserve">The table is sorted descending by [Số tiền giao dịch] column </t>
  </si>
  <si>
    <t>HT_053</t>
  </si>
  <si>
    <t xml:space="preserve">The table is sorted descending by [Ngày giao dịch] column </t>
  </si>
  <si>
    <t>HT_054</t>
  </si>
  <si>
    <t>Verify that The value displayed in [+/-] column matching with the transaction type</t>
  </si>
  <si>
    <t>Value = "Chuyển tiền" in [Hình thức] column</t>
  </si>
  <si>
    <t>Input valid value and click on [Tìm kiếm] button
The result table has data
PASS HT_014</t>
  </si>
  <si>
    <t>1. Open history transaction page
2. Enter valid value in all field
3. Click on [Tìm kiếm] button
4. Observe value in [+/-] column</t>
  </si>
  <si>
    <t>The value in [+/-] column is "-"</t>
  </si>
  <si>
    <t>don't pass HT_014</t>
  </si>
  <si>
    <t>HT_055</t>
  </si>
  <si>
    <t>Value = "Nộp tiền" in [Hình thức] column</t>
  </si>
  <si>
    <t>The value in [+/-] column is "+"</t>
  </si>
  <si>
    <t>HT_056</t>
  </si>
  <si>
    <t>Value = "Rút tiền" in [Hình thức] column</t>
  </si>
  <si>
    <t>HT_057</t>
  </si>
  <si>
    <t>Value = "Nhận tiền" in [Hình thức] column</t>
  </si>
  <si>
    <t>HT_058</t>
  </si>
  <si>
    <t>Verify that Display transaction execution time in [Ngày giao dịch] column when the user enter valid value in all fields</t>
  </si>
  <si>
    <t>1. Open history transaction page
2. Enter valid value in all field
3. Click on [Tìm kiếm] button
4. Observe value in [Ngày giao dịch] column</t>
  </si>
  <si>
    <t>Display transaction execution time in [Ngày giao dịch] column</t>
  </si>
  <si>
    <t>transaction execution time in [Ngày giao dịch] column is not displayed</t>
  </si>
  <si>
    <t>BugHTU_012</t>
  </si>
  <si>
    <t>HT_059</t>
  </si>
  <si>
    <t>Verify that display transaction content when the user enter valid value in all fields</t>
  </si>
  <si>
    <t>Display transaction content</t>
  </si>
  <si>
    <t>No documents to test</t>
  </si>
  <si>
    <t>HT_060</t>
  </si>
  <si>
    <t>Verify that display correct screen when the user click on page number button</t>
  </si>
  <si>
    <t>1. Open history transaction page
2. Enter valid value in all field
3. Click on [Tìm kiếm] button
4. Click on any page number button</t>
  </si>
  <si>
    <t>Displays the selected page number screen</t>
  </si>
  <si>
    <t>HT_061</t>
  </si>
  <si>
    <t>Verify that display correct screen when the user click on  First button or Previous button or Next button or Last button</t>
  </si>
  <si>
    <t>Input valid value and click on [Tìm kiếm] button
The screen has multiple pages and is not on the first page</t>
  </si>
  <si>
    <t>1. Open history transaction page
2. Enter valid value in all field
3. Click on [Tìm kiếm] button
4. Click on First button</t>
  </si>
  <si>
    <t>Displays the first page screen</t>
  </si>
  <si>
    <t>HT_062</t>
  </si>
  <si>
    <t>1. Open history transaction page
2. Enter valid value in all field
3. Click on [Tìm kiếm] button
4. Click on Previous button</t>
  </si>
  <si>
    <t>Displays the previous page screen</t>
  </si>
  <si>
    <t>HT_063</t>
  </si>
  <si>
    <t>Input valid value and click on [Tìm kiếm] button
The screen has multiple pages and is not on the last page</t>
  </si>
  <si>
    <t>1. Open history transaction page
2. Enter valid value in all field
3. Click on [Tìm kiếm] button
4. Click on Next button</t>
  </si>
  <si>
    <t>Displays the next page screen</t>
  </si>
  <si>
    <t>HT_064</t>
  </si>
  <si>
    <t>Displays the last page screen</t>
  </si>
  <si>
    <t>HT_065</t>
  </si>
  <si>
    <t xml:space="preserve">Verify that First button and Previous button is disable when the screen displays the first page </t>
  </si>
  <si>
    <t>First button and Previous button is disable</t>
  </si>
  <si>
    <t>HT_066</t>
  </si>
  <si>
    <t>Verify that Next button and Last button is disable when the screen displays the last page</t>
  </si>
  <si>
    <t>Next button and Last button is disable</t>
  </si>
  <si>
    <t>HT_067</t>
  </si>
  <si>
    <t>Verify that First button, Previous button, Next button, Last button is enable when the screen does not display the first or last page</t>
  </si>
  <si>
    <t>First button, Previous button, Next button, Last button is enable</t>
  </si>
  <si>
    <t>HT_068</t>
  </si>
  <si>
    <t>Verify that First button, Previous button, Next button, Last button is disable when the screen does not have data</t>
  </si>
  <si>
    <t xml:space="preserve">Input valid value and click on [Tìm kiếm] button
The result table hasn't data
</t>
  </si>
  <si>
    <t>1. Open history transaction page
2. Enter valid value in all field
3. Click on [Tìm kiếm] button
4. Observe button</t>
  </si>
  <si>
    <t>First button, Previous button, Next button, Last button is disable</t>
  </si>
  <si>
    <t>HT_069</t>
  </si>
  <si>
    <t>Verify that First button, Previous button, Next button, Last button is disable  when the data is only 1 page</t>
  </si>
  <si>
    <t>Input valid value and click on [Tìm kiếm] button 
The data is only 1 page</t>
  </si>
  <si>
    <t>HT_070</t>
  </si>
  <si>
    <t>Verify that Display the correct number of lines when the user selects option in page drop down menu</t>
  </si>
  <si>
    <t>1. Open history transaction page
2. Enter valid value in all field
3. Click on [Tìm kiếm] button
4. Select option in page drop down menu</t>
  </si>
  <si>
    <t>Display the correct number of lines</t>
  </si>
  <si>
    <t>HT_071</t>
  </si>
  <si>
    <t>Verify that Change the page number when the user click on 10 or 15 buttons in page drop down menu</t>
  </si>
  <si>
    <t>1. Open history transaction page
2. Enter valid value in all field
3. Click on [Tìm kiếm] button
4. Click on 10 or 15 buttons in page drop down menu
5. Observe the page number</t>
  </si>
  <si>
    <t>Change the page number</t>
  </si>
  <si>
    <t>HT_072</t>
  </si>
  <si>
    <t>Verify that Export excel file successfully when the user click on [Xuất excel] button</t>
  </si>
  <si>
    <t xml:space="preserve">Input valid value and click on [Tìm kiếm] button
</t>
  </si>
  <si>
    <t>1. Open history transaction page
2. Enter valid value in all field
3. Click on [Tìm kiếm] button
4. Click on [Xuất excel] button</t>
  </si>
  <si>
    <t>Export excel file successfully</t>
  </si>
  <si>
    <t>BugHTU_013</t>
  </si>
  <si>
    <t>HT_073</t>
  </si>
  <si>
    <t>Verify that Display all transactions of all accounts when the user click on [Nhật ký giao dịch] button on the home page</t>
  </si>
  <si>
    <t>1. Open Ebanking 
2. Click on [Nhật ký giao dịch] button</t>
  </si>
  <si>
    <t>Display all transactions of all accounts</t>
  </si>
  <si>
    <t>All transactions of all accounts is not displayed</t>
  </si>
  <si>
    <t>BugHTU_014</t>
  </si>
  <si>
    <t>HT_074</t>
  </si>
  <si>
    <t>Verify reset data when the user search successful transactions and exit functions</t>
  </si>
  <si>
    <t>1. Open history transaction page
2. Enter valid value in all field
3. Click on [Tìm kiếm] button
4. Click on another function</t>
  </si>
  <si>
    <t>Reset data of page</t>
  </si>
  <si>
    <t>Not reset data of page</t>
  </si>
  <si>
    <t>BugHTU_015</t>
  </si>
  <si>
    <t xml:space="preserve">  </t>
  </si>
</sst>
</file>

<file path=xl/styles.xml><?xml version="1.0" encoding="utf-8"?>
<styleSheet xmlns="http://schemas.openxmlformats.org/spreadsheetml/2006/main" xmlns:xr9="http://schemas.microsoft.com/office/spreadsheetml/2016/revision9">
  <numFmts count="5">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dd/mm/yyyy"/>
  </numFmts>
  <fonts count="40">
    <font>
      <sz val="10"/>
      <color rgb="FF000000"/>
      <name val="Arial"/>
      <charset val="134"/>
      <scheme val="minor"/>
    </font>
    <font>
      <b/>
      <sz val="10"/>
      <color theme="1"/>
      <name val="Arial"/>
      <charset val="134"/>
    </font>
    <font>
      <sz val="10"/>
      <name val="Arial"/>
      <charset val="134"/>
      <scheme val="minor"/>
    </font>
    <font>
      <sz val="10"/>
      <color theme="1"/>
      <name val="Arial"/>
      <charset val="134"/>
    </font>
    <font>
      <u/>
      <sz val="10"/>
      <color rgb="FF0000FF"/>
      <name val="Arial"/>
      <charset val="134"/>
    </font>
    <font>
      <sz val="10"/>
      <color rgb="FF000000"/>
      <name val="Arial"/>
      <charset val="134"/>
    </font>
    <font>
      <sz val="10"/>
      <color theme="1"/>
      <name val="Arial"/>
      <charset val="134"/>
      <scheme val="minor"/>
    </font>
    <font>
      <sz val="11"/>
      <color theme="1"/>
      <name val="Arial"/>
      <charset val="134"/>
    </font>
    <font>
      <u/>
      <sz val="10"/>
      <color theme="1"/>
      <name val="Arial"/>
      <charset val="134"/>
    </font>
    <font>
      <sz val="13"/>
      <color theme="1"/>
      <name val="Arial"/>
      <charset val="134"/>
      <scheme val="minor"/>
    </font>
    <font>
      <b/>
      <sz val="13"/>
      <color rgb="FF0000FF"/>
      <name val="Arial"/>
      <charset val="134"/>
    </font>
    <font>
      <b/>
      <sz val="11"/>
      <color theme="1"/>
      <name val="Arial"/>
      <charset val="134"/>
    </font>
    <font>
      <sz val="11"/>
      <color theme="1"/>
      <name val="Arial"/>
      <charset val="134"/>
      <scheme val="minor"/>
    </font>
    <font>
      <b/>
      <sz val="20"/>
      <color theme="1"/>
      <name val="Arial"/>
      <charset val="134"/>
    </font>
    <font>
      <b/>
      <sz val="12"/>
      <color theme="1"/>
      <name val="Arial"/>
      <charset val="134"/>
    </font>
    <font>
      <sz val="12"/>
      <color theme="1"/>
      <name val="Arial"/>
      <charset val="134"/>
    </font>
    <font>
      <b/>
      <sz val="12"/>
      <color rgb="FF1F497D"/>
      <name val="Arial"/>
      <charset val="134"/>
    </font>
    <font>
      <u/>
      <sz val="12"/>
      <color rgb="FF0000FF"/>
      <name val="Arial"/>
      <charset val="134"/>
    </font>
    <font>
      <u/>
      <sz val="11"/>
      <color rgb="FF0000FF"/>
      <name val="Arial"/>
      <charset val="0"/>
      <scheme val="minor"/>
    </font>
    <font>
      <u/>
      <sz val="11"/>
      <color rgb="FF800080"/>
      <name val="Arial"/>
      <charset val="0"/>
      <scheme val="minor"/>
    </font>
    <font>
      <sz val="11"/>
      <color rgb="FFFF0000"/>
      <name val="Arial"/>
      <charset val="0"/>
      <scheme val="minor"/>
    </font>
    <font>
      <b/>
      <sz val="18"/>
      <color theme="3"/>
      <name val="Arial"/>
      <charset val="134"/>
      <scheme val="minor"/>
    </font>
    <font>
      <i/>
      <sz val="11"/>
      <color rgb="FF7F7F7F"/>
      <name val="Arial"/>
      <charset val="0"/>
      <scheme val="minor"/>
    </font>
    <font>
      <b/>
      <sz val="15"/>
      <color theme="3"/>
      <name val="Arial"/>
      <charset val="134"/>
      <scheme val="minor"/>
    </font>
    <font>
      <b/>
      <sz val="13"/>
      <color theme="3"/>
      <name val="Arial"/>
      <charset val="134"/>
      <scheme val="minor"/>
    </font>
    <font>
      <b/>
      <sz val="11"/>
      <color theme="3"/>
      <name val="Arial"/>
      <charset val="134"/>
      <scheme val="minor"/>
    </font>
    <font>
      <sz val="11"/>
      <color rgb="FF3F3F76"/>
      <name val="Arial"/>
      <charset val="0"/>
      <scheme val="minor"/>
    </font>
    <font>
      <b/>
      <sz val="11"/>
      <color rgb="FF3F3F3F"/>
      <name val="Arial"/>
      <charset val="0"/>
      <scheme val="minor"/>
    </font>
    <font>
      <b/>
      <sz val="11"/>
      <color rgb="FFFA7D00"/>
      <name val="Arial"/>
      <charset val="0"/>
      <scheme val="minor"/>
    </font>
    <font>
      <b/>
      <sz val="11"/>
      <color rgb="FFFFFFFF"/>
      <name val="Arial"/>
      <charset val="0"/>
      <scheme val="minor"/>
    </font>
    <font>
      <sz val="11"/>
      <color rgb="FFFA7D00"/>
      <name val="Arial"/>
      <charset val="0"/>
      <scheme val="minor"/>
    </font>
    <font>
      <b/>
      <sz val="11"/>
      <color theme="1"/>
      <name val="Arial"/>
      <charset val="0"/>
      <scheme val="minor"/>
    </font>
    <font>
      <sz val="11"/>
      <color rgb="FF006100"/>
      <name val="Arial"/>
      <charset val="0"/>
      <scheme val="minor"/>
    </font>
    <font>
      <sz val="11"/>
      <color rgb="FF9C0006"/>
      <name val="Arial"/>
      <charset val="0"/>
      <scheme val="minor"/>
    </font>
    <font>
      <sz val="11"/>
      <color rgb="FF9C6500"/>
      <name val="Arial"/>
      <charset val="0"/>
      <scheme val="minor"/>
    </font>
    <font>
      <sz val="11"/>
      <color theme="0"/>
      <name val="Arial"/>
      <charset val="0"/>
      <scheme val="minor"/>
    </font>
    <font>
      <sz val="11"/>
      <color theme="1"/>
      <name val="Arial"/>
      <charset val="0"/>
      <scheme val="minor"/>
    </font>
    <font>
      <sz val="10"/>
      <name val="Arial"/>
      <charset val="134"/>
    </font>
    <font>
      <u/>
      <sz val="10"/>
      <color rgb="FF1155CC"/>
      <name val="Arial"/>
      <charset val="134"/>
    </font>
    <font>
      <sz val="10"/>
      <name val="SimSun"/>
      <charset val="134"/>
    </font>
  </fonts>
  <fills count="42">
    <fill>
      <patternFill patternType="none"/>
    </fill>
    <fill>
      <patternFill patternType="gray125"/>
    </fill>
    <fill>
      <patternFill patternType="solid">
        <fgColor rgb="FFC0C0C0"/>
        <bgColor rgb="FFC0C0C0"/>
      </patternFill>
    </fill>
    <fill>
      <patternFill patternType="solid">
        <fgColor rgb="FFBFBFBF"/>
        <bgColor rgb="FFBFBFBF"/>
      </patternFill>
    </fill>
    <fill>
      <patternFill patternType="solid">
        <fgColor rgb="FFF2F2F2"/>
        <bgColor rgb="FFF2F2F2"/>
      </patternFill>
    </fill>
    <fill>
      <patternFill patternType="solid">
        <fgColor rgb="FFF4CCCC"/>
        <bgColor rgb="FFF4CCCC"/>
      </patternFill>
    </fill>
    <fill>
      <patternFill patternType="solid">
        <fgColor rgb="FFFFFFFF"/>
        <bgColor rgb="FFFFFFFF"/>
      </patternFill>
    </fill>
    <fill>
      <patternFill patternType="solid">
        <fgColor theme="0"/>
        <bgColor theme="0"/>
      </patternFill>
    </fill>
    <fill>
      <patternFill patternType="solid">
        <fgColor rgb="FFCFE2F3"/>
        <bgColor rgb="FFCFE2F3"/>
      </patternFill>
    </fill>
    <fill>
      <patternFill patternType="solid">
        <fgColor rgb="FFCCC0D9"/>
        <bgColor rgb="FFCCC0D9"/>
      </patternFill>
    </fill>
    <fill>
      <patternFill patternType="solid">
        <fgColor rgb="FFB7B7B7"/>
        <bgColor rgb="FFB7B7B7"/>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7">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right style="medium">
        <color rgb="FF000000"/>
      </right>
      <top style="medium">
        <color rgb="FF000000"/>
      </top>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top/>
      <bottom style="medium">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medium">
        <color rgb="FF000000"/>
      </right>
      <top style="medium">
        <color rgb="FF000000"/>
      </top>
      <bottom style="thin">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176"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177"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2" fillId="11" borderId="29"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30" applyNumberFormat="0" applyFill="0" applyAlignment="0" applyProtection="0">
      <alignment vertical="center"/>
    </xf>
    <xf numFmtId="0" fontId="24" fillId="0" borderId="30" applyNumberFormat="0" applyFill="0" applyAlignment="0" applyProtection="0">
      <alignment vertical="center"/>
    </xf>
    <xf numFmtId="0" fontId="25" fillId="0" borderId="31" applyNumberFormat="0" applyFill="0" applyAlignment="0" applyProtection="0">
      <alignment vertical="center"/>
    </xf>
    <xf numFmtId="0" fontId="25" fillId="0" borderId="0" applyNumberFormat="0" applyFill="0" applyBorder="0" applyAlignment="0" applyProtection="0">
      <alignment vertical="center"/>
    </xf>
    <xf numFmtId="0" fontId="26" fillId="12" borderId="32" applyNumberFormat="0" applyAlignment="0" applyProtection="0">
      <alignment vertical="center"/>
    </xf>
    <xf numFmtId="0" fontId="27" fillId="13" borderId="33" applyNumberFormat="0" applyAlignment="0" applyProtection="0">
      <alignment vertical="center"/>
    </xf>
    <xf numFmtId="0" fontId="28" fillId="13" borderId="32" applyNumberFormat="0" applyAlignment="0" applyProtection="0">
      <alignment vertical="center"/>
    </xf>
    <xf numFmtId="0" fontId="29" fillId="14" borderId="34" applyNumberFormat="0" applyAlignment="0" applyProtection="0">
      <alignment vertical="center"/>
    </xf>
    <xf numFmtId="0" fontId="30" fillId="0" borderId="35" applyNumberFormat="0" applyFill="0" applyAlignment="0" applyProtection="0">
      <alignment vertical="center"/>
    </xf>
    <xf numFmtId="0" fontId="31" fillId="0" borderId="36" applyNumberFormat="0" applyFill="0" applyAlignment="0" applyProtection="0">
      <alignment vertical="center"/>
    </xf>
    <xf numFmtId="0" fontId="32" fillId="15" borderId="0" applyNumberFormat="0" applyBorder="0" applyAlignment="0" applyProtection="0">
      <alignment vertical="center"/>
    </xf>
    <xf numFmtId="0" fontId="33" fillId="16" borderId="0" applyNumberFormat="0" applyBorder="0" applyAlignment="0" applyProtection="0">
      <alignment vertical="center"/>
    </xf>
    <xf numFmtId="0" fontId="34" fillId="17" borderId="0" applyNumberFormat="0" applyBorder="0" applyAlignment="0" applyProtection="0">
      <alignment vertical="center"/>
    </xf>
    <xf numFmtId="0" fontId="35" fillId="18" borderId="0" applyNumberFormat="0" applyBorder="0" applyAlignment="0" applyProtection="0">
      <alignment vertical="center"/>
    </xf>
    <xf numFmtId="0" fontId="36" fillId="19" borderId="0" applyNumberFormat="0" applyBorder="0" applyAlignment="0" applyProtection="0">
      <alignment vertical="center"/>
    </xf>
    <xf numFmtId="0" fontId="36" fillId="20" borderId="0" applyNumberFormat="0" applyBorder="0" applyAlignment="0" applyProtection="0">
      <alignment vertical="center"/>
    </xf>
    <xf numFmtId="0" fontId="35" fillId="21" borderId="0" applyNumberFormat="0" applyBorder="0" applyAlignment="0" applyProtection="0">
      <alignment vertical="center"/>
    </xf>
    <xf numFmtId="0" fontId="35" fillId="22" borderId="0" applyNumberFormat="0" applyBorder="0" applyAlignment="0" applyProtection="0">
      <alignment vertical="center"/>
    </xf>
    <xf numFmtId="0" fontId="36" fillId="23" borderId="0" applyNumberFormat="0" applyBorder="0" applyAlignment="0" applyProtection="0">
      <alignment vertical="center"/>
    </xf>
    <xf numFmtId="0" fontId="36" fillId="24"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6" fillId="27" borderId="0" applyNumberFormat="0" applyBorder="0" applyAlignment="0" applyProtection="0">
      <alignment vertical="center"/>
    </xf>
    <xf numFmtId="0" fontId="36" fillId="28" borderId="0" applyNumberFormat="0" applyBorder="0" applyAlignment="0" applyProtection="0">
      <alignment vertical="center"/>
    </xf>
    <xf numFmtId="0" fontId="35" fillId="29" borderId="0" applyNumberFormat="0" applyBorder="0" applyAlignment="0" applyProtection="0">
      <alignment vertical="center"/>
    </xf>
    <xf numFmtId="0" fontId="35" fillId="30" borderId="0" applyNumberFormat="0" applyBorder="0" applyAlignment="0" applyProtection="0">
      <alignment vertical="center"/>
    </xf>
    <xf numFmtId="0" fontId="36" fillId="31" borderId="0" applyNumberFormat="0" applyBorder="0" applyAlignment="0" applyProtection="0">
      <alignment vertical="center"/>
    </xf>
    <xf numFmtId="0" fontId="36" fillId="32" borderId="0" applyNumberFormat="0" applyBorder="0" applyAlignment="0" applyProtection="0">
      <alignment vertical="center"/>
    </xf>
    <xf numFmtId="0" fontId="35" fillId="33" borderId="0" applyNumberFormat="0" applyBorder="0" applyAlignment="0" applyProtection="0">
      <alignment vertical="center"/>
    </xf>
    <xf numFmtId="0" fontId="35" fillId="34" borderId="0" applyNumberFormat="0" applyBorder="0" applyAlignment="0" applyProtection="0">
      <alignment vertical="center"/>
    </xf>
    <xf numFmtId="0" fontId="36" fillId="35" borderId="0" applyNumberFormat="0" applyBorder="0" applyAlignment="0" applyProtection="0">
      <alignment vertical="center"/>
    </xf>
    <xf numFmtId="0" fontId="36" fillId="36" borderId="0" applyNumberFormat="0" applyBorder="0" applyAlignment="0" applyProtection="0">
      <alignment vertical="center"/>
    </xf>
    <xf numFmtId="0" fontId="35" fillId="37" borderId="0" applyNumberFormat="0" applyBorder="0" applyAlignment="0" applyProtection="0">
      <alignment vertical="center"/>
    </xf>
    <xf numFmtId="0" fontId="35" fillId="38" borderId="0" applyNumberFormat="0" applyBorder="0" applyAlignment="0" applyProtection="0">
      <alignment vertical="center"/>
    </xf>
    <xf numFmtId="0" fontId="36" fillId="39" borderId="0" applyNumberFormat="0" applyBorder="0" applyAlignment="0" applyProtection="0">
      <alignment vertical="center"/>
    </xf>
    <xf numFmtId="0" fontId="36" fillId="40" borderId="0" applyNumberFormat="0" applyBorder="0" applyAlignment="0" applyProtection="0">
      <alignment vertical="center"/>
    </xf>
    <xf numFmtId="0" fontId="35" fillId="41" borderId="0" applyNumberFormat="0" applyBorder="0" applyAlignment="0" applyProtection="0">
      <alignment vertical="center"/>
    </xf>
  </cellStyleXfs>
  <cellXfs count="122">
    <xf numFmtId="0" fontId="0" fillId="0" borderId="0" xfId="0" applyFont="1" applyAlignment="1"/>
    <xf numFmtId="0" fontId="1" fillId="2" borderId="1" xfId="0" applyFont="1" applyFill="1" applyBorder="1" applyAlignment="1">
      <alignment horizontal="center" vertical="center" wrapText="1"/>
    </xf>
    <xf numFmtId="0" fontId="2" fillId="0" borderId="2" xfId="0" applyFont="1" applyBorder="1"/>
    <xf numFmtId="0" fontId="1" fillId="2" borderId="3"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2" fillId="0" borderId="4"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2" fillId="0" borderId="9" xfId="0" applyFont="1" applyBorder="1"/>
    <xf numFmtId="0" fontId="1" fillId="4" borderId="3" xfId="0" applyFont="1" applyFill="1" applyBorder="1" applyAlignment="1">
      <alignment vertical="center" wrapText="1"/>
    </xf>
    <xf numFmtId="0" fontId="1" fillId="5" borderId="10" xfId="0" applyFont="1" applyFill="1" applyBorder="1" applyAlignment="1">
      <alignment vertical="center" wrapText="1"/>
    </xf>
    <xf numFmtId="0" fontId="2" fillId="0" borderId="11" xfId="0" applyFont="1" applyBorder="1"/>
    <xf numFmtId="0" fontId="3" fillId="0" borderId="3" xfId="0" applyFont="1" applyBorder="1" applyAlignment="1">
      <alignment vertical="center" wrapText="1"/>
    </xf>
    <xf numFmtId="0" fontId="3" fillId="0" borderId="12" xfId="0" applyFont="1" applyBorder="1" applyAlignment="1">
      <alignment vertical="center" wrapText="1"/>
    </xf>
    <xf numFmtId="0" fontId="4" fillId="0" borderId="12" xfId="0" applyFont="1" applyBorder="1" applyAlignment="1">
      <alignment vertical="center" wrapText="1"/>
    </xf>
    <xf numFmtId="0" fontId="3" fillId="0" borderId="8" xfId="0" applyFont="1" applyBorder="1" applyAlignment="1">
      <alignment vertical="center" wrapText="1"/>
    </xf>
    <xf numFmtId="0" fontId="2" fillId="0" borderId="13" xfId="0" applyFont="1" applyBorder="1"/>
    <xf numFmtId="0" fontId="2" fillId="0" borderId="14" xfId="0" applyFont="1" applyBorder="1"/>
    <xf numFmtId="0" fontId="3" fillId="0" borderId="11" xfId="0" applyFont="1" applyBorder="1" applyAlignment="1">
      <alignment vertical="center" wrapText="1"/>
    </xf>
    <xf numFmtId="0" fontId="2" fillId="0" borderId="15" xfId="0" applyFont="1" applyBorder="1"/>
    <xf numFmtId="0" fontId="3" fillId="0" borderId="15" xfId="0" applyFont="1" applyBorder="1" applyAlignment="1">
      <alignment vertical="center" wrapText="1"/>
    </xf>
    <xf numFmtId="0" fontId="3" fillId="0" borderId="10" xfId="0" applyFont="1" applyBorder="1" applyAlignment="1">
      <alignment vertical="center" wrapText="1"/>
    </xf>
    <xf numFmtId="0" fontId="5" fillId="6" borderId="6" xfId="0" applyFont="1" applyFill="1" applyBorder="1" applyAlignment="1">
      <alignment horizontal="left" vertical="center"/>
    </xf>
    <xf numFmtId="0" fontId="1" fillId="7" borderId="12" xfId="0" applyFont="1" applyFill="1" applyBorder="1" applyAlignment="1">
      <alignment horizontal="center" vertical="center" wrapText="1"/>
    </xf>
    <xf numFmtId="0" fontId="6" fillId="0" borderId="0" xfId="0" applyFont="1" applyAlignment="1">
      <alignment vertical="center" wrapText="1"/>
    </xf>
    <xf numFmtId="0" fontId="3" fillId="0" borderId="0" xfId="0" applyFont="1"/>
    <xf numFmtId="0" fontId="3" fillId="0" borderId="2" xfId="0" applyFont="1" applyBorder="1" applyAlignment="1">
      <alignment vertical="center" wrapText="1"/>
    </xf>
    <xf numFmtId="0" fontId="3" fillId="0" borderId="15" xfId="0" applyFont="1" applyBorder="1" applyAlignment="1">
      <alignment vertical="center"/>
    </xf>
    <xf numFmtId="0" fontId="3" fillId="0" borderId="9" xfId="0" applyFont="1" applyBorder="1" applyAlignment="1">
      <alignment vertical="center" wrapText="1"/>
    </xf>
    <xf numFmtId="0" fontId="3" fillId="0" borderId="8" xfId="0" applyFont="1" applyBorder="1" applyAlignment="1">
      <alignment vertical="center"/>
    </xf>
    <xf numFmtId="0" fontId="3" fillId="0" borderId="0" xfId="0" applyFont="1" applyAlignment="1">
      <alignment vertical="center" wrapText="1"/>
    </xf>
    <xf numFmtId="0" fontId="1" fillId="8" borderId="10" xfId="0" applyFont="1" applyFill="1" applyBorder="1" applyAlignment="1">
      <alignment vertical="center" wrapText="1"/>
    </xf>
    <xf numFmtId="0" fontId="3" fillId="0" borderId="3" xfId="0" applyFont="1" applyBorder="1" applyAlignment="1">
      <alignment wrapText="1"/>
    </xf>
    <xf numFmtId="0" fontId="3" fillId="0" borderId="14" xfId="0" applyFont="1" applyBorder="1" applyAlignment="1">
      <alignment wrapText="1"/>
    </xf>
    <xf numFmtId="0" fontId="3" fillId="0" borderId="1" xfId="0" applyFont="1" applyBorder="1" applyAlignment="1">
      <alignment vertical="center" wrapText="1"/>
    </xf>
    <xf numFmtId="0" fontId="3" fillId="0" borderId="14" xfId="0" applyFont="1" applyBorder="1" applyAlignment="1">
      <alignment vertical="center" wrapText="1"/>
    </xf>
    <xf numFmtId="0" fontId="3" fillId="6" borderId="2" xfId="0" applyFont="1" applyFill="1" applyBorder="1" applyAlignment="1">
      <alignment vertical="center" wrapText="1"/>
    </xf>
    <xf numFmtId="0" fontId="7" fillId="0" borderId="3" xfId="0" applyFont="1" applyBorder="1" applyAlignment="1">
      <alignment vertical="center" wrapText="1"/>
    </xf>
    <xf numFmtId="0" fontId="4" fillId="0" borderId="3" xfId="0" applyFont="1" applyBorder="1" applyAlignment="1">
      <alignment vertical="center" wrapText="1"/>
    </xf>
    <xf numFmtId="0" fontId="5" fillId="6" borderId="3" xfId="0" applyFont="1" applyFill="1" applyBorder="1" applyAlignment="1">
      <alignment horizontal="left" vertical="center" wrapText="1"/>
    </xf>
    <xf numFmtId="0" fontId="3" fillId="7" borderId="3" xfId="0" applyFont="1" applyFill="1" applyBorder="1" applyAlignment="1">
      <alignment vertical="center" wrapText="1"/>
    </xf>
    <xf numFmtId="0" fontId="3" fillId="7" borderId="12" xfId="0" applyFont="1" applyFill="1" applyBorder="1" applyAlignment="1">
      <alignment vertical="center" wrapText="1"/>
    </xf>
    <xf numFmtId="0" fontId="8" fillId="7" borderId="12" xfId="0" applyFont="1" applyFill="1" applyBorder="1" applyAlignment="1">
      <alignment vertical="center" wrapText="1"/>
    </xf>
    <xf numFmtId="0" fontId="3" fillId="0" borderId="3" xfId="0" applyFont="1" applyBorder="1" applyAlignment="1">
      <alignment horizontal="left" vertical="center" wrapText="1"/>
    </xf>
    <xf numFmtId="0" fontId="3" fillId="7" borderId="10" xfId="0" applyFont="1" applyFill="1" applyBorder="1" applyAlignment="1">
      <alignment vertical="center" wrapText="1"/>
    </xf>
    <xf numFmtId="0" fontId="5" fillId="0" borderId="0" xfId="0" applyFont="1" applyAlignment="1">
      <alignment horizontal="left" vertical="center" wrapText="1"/>
    </xf>
    <xf numFmtId="0" fontId="9" fillId="0" borderId="0" xfId="0" applyFont="1" applyAlignment="1">
      <alignment vertical="center" wrapText="1"/>
    </xf>
    <xf numFmtId="0" fontId="3" fillId="6" borderId="14" xfId="0" applyFont="1" applyFill="1" applyBorder="1" applyAlignment="1">
      <alignment horizontal="right" vertical="center" wrapText="1"/>
    </xf>
    <xf numFmtId="0" fontId="10" fillId="0" borderId="0" xfId="0" applyFont="1" applyAlignment="1">
      <alignment vertical="center" wrapText="1"/>
    </xf>
    <xf numFmtId="0" fontId="11" fillId="4" borderId="0" xfId="0" applyFont="1" applyFill="1" applyAlignment="1">
      <alignment wrapText="1"/>
    </xf>
    <xf numFmtId="0" fontId="11" fillId="4" borderId="3" xfId="0" applyFont="1" applyFill="1" applyBorder="1" applyAlignment="1">
      <alignment wrapText="1"/>
    </xf>
    <xf numFmtId="0" fontId="11" fillId="4" borderId="15" xfId="0" applyFont="1" applyFill="1" applyBorder="1" applyAlignment="1">
      <alignment wrapText="1"/>
    </xf>
    <xf numFmtId="0" fontId="7" fillId="0" borderId="13" xfId="0" applyFont="1" applyBorder="1" applyAlignment="1">
      <alignment vertical="center" wrapText="1"/>
    </xf>
    <xf numFmtId="0" fontId="7" fillId="0" borderId="8" xfId="0" applyFont="1" applyBorder="1" applyAlignment="1">
      <alignment wrapText="1"/>
    </xf>
    <xf numFmtId="0" fontId="7" fillId="6" borderId="8" xfId="0" applyFont="1" applyFill="1" applyBorder="1" applyAlignment="1">
      <alignment wrapText="1"/>
    </xf>
    <xf numFmtId="0" fontId="7" fillId="0" borderId="8" xfId="0" applyFont="1" applyBorder="1" applyAlignment="1"/>
    <xf numFmtId="0" fontId="3" fillId="6" borderId="8" xfId="0" applyFont="1" applyFill="1" applyBorder="1" applyAlignment="1"/>
    <xf numFmtId="0" fontId="7" fillId="0" borderId="8" xfId="0" applyFont="1" applyBorder="1" applyAlignment="1">
      <alignment horizontal="right" wrapText="1"/>
    </xf>
    <xf numFmtId="0" fontId="7" fillId="0" borderId="6" xfId="0" applyFont="1" applyBorder="1" applyAlignment="1">
      <alignment wrapText="1"/>
    </xf>
    <xf numFmtId="0" fontId="6" fillId="0" borderId="3" xfId="0" applyFont="1" applyBorder="1" applyAlignment="1"/>
    <xf numFmtId="0" fontId="3" fillId="0" borderId="8" xfId="0" applyFont="1" applyBorder="1" applyAlignment="1"/>
    <xf numFmtId="0" fontId="6" fillId="0" borderId="12" xfId="0" applyFont="1" applyBorder="1" applyAlignment="1"/>
    <xf numFmtId="0" fontId="6" fillId="0" borderId="3" xfId="0" applyFont="1" applyBorder="1"/>
    <xf numFmtId="0" fontId="6" fillId="0" borderId="3" xfId="0" applyFont="1" applyBorder="1" applyAlignment="1">
      <alignment wrapText="1"/>
    </xf>
    <xf numFmtId="0" fontId="12" fillId="0" borderId="3" xfId="0" applyFont="1" applyBorder="1" applyAlignment="1"/>
    <xf numFmtId="0" fontId="7" fillId="0" borderId="3" xfId="0" applyFont="1" applyBorder="1" applyAlignment="1"/>
    <xf numFmtId="0" fontId="3" fillId="6" borderId="8" xfId="0" applyFont="1" applyFill="1" applyBorder="1" applyAlignment="1">
      <alignment wrapText="1"/>
    </xf>
    <xf numFmtId="0" fontId="7" fillId="0" borderId="12" xfId="0" applyFont="1" applyBorder="1" applyAlignment="1">
      <alignment vertical="center" wrapText="1"/>
    </xf>
    <xf numFmtId="0" fontId="7" fillId="6" borderId="6" xfId="0" applyFont="1" applyFill="1" applyBorder="1" applyAlignment="1">
      <alignment wrapText="1"/>
    </xf>
    <xf numFmtId="0" fontId="1" fillId="0" borderId="3" xfId="0" applyFont="1" applyBorder="1" applyAlignment="1">
      <alignment wrapText="1"/>
    </xf>
    <xf numFmtId="0" fontId="6" fillId="0" borderId="12" xfId="0" applyFont="1" applyBorder="1"/>
    <xf numFmtId="0" fontId="13" fillId="0" borderId="0" xfId="0" applyFont="1" applyAlignment="1">
      <alignment horizontal="center"/>
    </xf>
    <xf numFmtId="0" fontId="14" fillId="2" borderId="16" xfId="0" applyFont="1" applyFill="1" applyBorder="1" applyAlignment="1"/>
    <xf numFmtId="0" fontId="14" fillId="2" borderId="17" xfId="0" applyFont="1" applyFill="1" applyBorder="1" applyAlignment="1"/>
    <xf numFmtId="0" fontId="15" fillId="0" borderId="0" xfId="0" applyFont="1" applyAlignment="1"/>
    <xf numFmtId="0" fontId="15" fillId="2" borderId="18" xfId="0" applyFont="1" applyFill="1" applyBorder="1" applyAlignment="1"/>
    <xf numFmtId="0" fontId="15" fillId="9" borderId="19" xfId="0" applyFont="1" applyFill="1" applyBorder="1" applyAlignment="1"/>
    <xf numFmtId="0" fontId="15" fillId="0" borderId="20" xfId="0" applyFont="1" applyBorder="1" applyAlignment="1"/>
    <xf numFmtId="0" fontId="15" fillId="2" borderId="16" xfId="0" applyFont="1" applyFill="1" applyBorder="1" applyAlignment="1">
      <alignment vertical="center"/>
    </xf>
    <xf numFmtId="0" fontId="15" fillId="9" borderId="21" xfId="0" applyFont="1" applyFill="1" applyBorder="1" applyAlignment="1"/>
    <xf numFmtId="0" fontId="15" fillId="2" borderId="22" xfId="0" applyFont="1" applyFill="1" applyBorder="1" applyAlignment="1">
      <alignment vertical="center"/>
    </xf>
    <xf numFmtId="0" fontId="14" fillId="2" borderId="23" xfId="0" applyFont="1" applyFill="1" applyBorder="1" applyAlignment="1"/>
    <xf numFmtId="0" fontId="15" fillId="2" borderId="24" xfId="0" applyFont="1" applyFill="1" applyBorder="1" applyAlignment="1"/>
    <xf numFmtId="0" fontId="16" fillId="0" borderId="0" xfId="0" applyFont="1" applyAlignment="1"/>
    <xf numFmtId="0" fontId="15" fillId="9" borderId="25" xfId="0" applyFont="1" applyFill="1" applyBorder="1" applyAlignment="1"/>
    <xf numFmtId="0" fontId="15" fillId="2" borderId="22" xfId="0" applyFont="1" applyFill="1" applyBorder="1" applyAlignment="1"/>
    <xf numFmtId="0" fontId="15" fillId="9" borderId="21" xfId="0" applyFont="1" applyFill="1" applyBorder="1" applyAlignment="1">
      <alignment horizontal="left"/>
    </xf>
    <xf numFmtId="0" fontId="14" fillId="2" borderId="26" xfId="0" applyFont="1" applyFill="1" applyBorder="1" applyAlignment="1">
      <alignment horizontal="left"/>
    </xf>
    <xf numFmtId="0" fontId="2" fillId="0" borderId="27" xfId="0" applyFont="1" applyBorder="1"/>
    <xf numFmtId="0" fontId="15" fillId="6" borderId="14" xfId="0" applyFont="1" applyFill="1" applyBorder="1" applyAlignment="1">
      <alignment horizontal="center" vertical="center" wrapText="1"/>
    </xf>
    <xf numFmtId="0" fontId="15" fillId="6" borderId="7" xfId="0" applyFont="1" applyFill="1" applyBorder="1" applyAlignment="1">
      <alignment horizontal="center" vertical="center" wrapText="1"/>
    </xf>
    <xf numFmtId="15" fontId="15" fillId="0" borderId="3" xfId="0" applyNumberFormat="1" applyFont="1" applyBorder="1" applyAlignment="1">
      <alignment horizontal="center" vertical="top"/>
    </xf>
    <xf numFmtId="0" fontId="15" fillId="6" borderId="14" xfId="0" applyFont="1" applyFill="1" applyBorder="1" applyAlignment="1">
      <alignment horizontal="center" vertical="top" wrapText="1"/>
    </xf>
    <xf numFmtId="0" fontId="15" fillId="6" borderId="10" xfId="0" applyFont="1" applyFill="1" applyBorder="1" applyAlignment="1">
      <alignment horizontal="center" vertical="top"/>
    </xf>
    <xf numFmtId="0" fontId="15" fillId="6" borderId="3" xfId="0" applyFont="1" applyFill="1" applyBorder="1" applyAlignment="1">
      <alignment vertical="top" wrapText="1"/>
    </xf>
    <xf numFmtId="0" fontId="15" fillId="6" borderId="15" xfId="0" applyFont="1" applyFill="1" applyBorder="1" applyAlignment="1">
      <alignment horizontal="center" vertical="top" wrapText="1"/>
    </xf>
    <xf numFmtId="0" fontId="15" fillId="6" borderId="3" xfId="0" applyFont="1" applyFill="1" applyBorder="1" applyAlignment="1">
      <alignment horizontal="left" vertical="center" wrapText="1"/>
    </xf>
    <xf numFmtId="16" fontId="15" fillId="6" borderId="3" xfId="0" applyNumberFormat="1" applyFont="1" applyFill="1" applyBorder="1" applyAlignment="1">
      <alignment horizontal="left" vertical="center" wrapText="1"/>
    </xf>
    <xf numFmtId="0" fontId="17" fillId="6" borderId="3" xfId="0" applyFont="1" applyFill="1" applyBorder="1" applyAlignment="1">
      <alignment horizontal="center"/>
    </xf>
    <xf numFmtId="0" fontId="15" fillId="6" borderId="3" xfId="0" applyFont="1" applyFill="1" applyBorder="1" applyAlignment="1">
      <alignment horizontal="center" vertical="center" wrapText="1"/>
    </xf>
    <xf numFmtId="15" fontId="15" fillId="0" borderId="0" xfId="0" applyNumberFormat="1" applyFont="1" applyAlignment="1">
      <alignment horizontal="center" vertical="top"/>
    </xf>
    <xf numFmtId="0" fontId="15" fillId="6" borderId="0" xfId="0" applyFont="1" applyFill="1" applyAlignment="1">
      <alignment horizontal="center" vertical="top" wrapText="1"/>
    </xf>
    <xf numFmtId="0" fontId="15" fillId="6" borderId="0" xfId="0" applyFont="1" applyFill="1" applyAlignment="1">
      <alignment horizontal="center" vertical="top"/>
    </xf>
    <xf numFmtId="0" fontId="15" fillId="6" borderId="0" xfId="0" applyFont="1" applyFill="1" applyAlignment="1">
      <alignment vertical="top" wrapText="1"/>
    </xf>
    <xf numFmtId="0" fontId="15" fillId="6" borderId="0" xfId="0" applyFont="1" applyFill="1" applyAlignment="1">
      <alignment horizontal="center" vertical="center" wrapText="1"/>
    </xf>
    <xf numFmtId="0" fontId="3" fillId="0" borderId="6" xfId="0" applyFont="1" applyBorder="1" applyAlignment="1"/>
    <xf numFmtId="0" fontId="11" fillId="10" borderId="11" xfId="0" applyFont="1" applyFill="1" applyBorder="1" applyAlignment="1"/>
    <xf numFmtId="0" fontId="11" fillId="6" borderId="8" xfId="0" applyFont="1" applyFill="1" applyBorder="1" applyAlignment="1">
      <alignment horizontal="center" wrapText="1"/>
    </xf>
    <xf numFmtId="0" fontId="17" fillId="6" borderId="8" xfId="0" applyFont="1" applyFill="1" applyBorder="1" applyAlignment="1">
      <alignment horizontal="center"/>
    </xf>
    <xf numFmtId="0" fontId="7" fillId="6" borderId="8" xfId="0" applyFont="1" applyFill="1" applyBorder="1" applyAlignment="1">
      <alignment horizontal="center"/>
    </xf>
    <xf numFmtId="0" fontId="11" fillId="6" borderId="8" xfId="0" applyFont="1" applyFill="1" applyBorder="1" applyAlignment="1">
      <alignment horizontal="center"/>
    </xf>
    <xf numFmtId="0" fontId="3" fillId="0" borderId="0" xfId="0" applyFont="1" applyAlignment="1"/>
    <xf numFmtId="0" fontId="11" fillId="6" borderId="3" xfId="0" applyFont="1" applyFill="1" applyBorder="1" applyAlignment="1">
      <alignment horizontal="center"/>
    </xf>
    <xf numFmtId="0" fontId="7" fillId="6" borderId="3" xfId="0" applyFont="1" applyFill="1" applyBorder="1" applyAlignment="1">
      <alignment horizontal="center"/>
    </xf>
    <xf numFmtId="0" fontId="2" fillId="0" borderId="28" xfId="0" applyFont="1" applyBorder="1"/>
    <xf numFmtId="0" fontId="3" fillId="10" borderId="11" xfId="0" applyFont="1" applyFill="1" applyBorder="1" applyAlignment="1"/>
    <xf numFmtId="0" fontId="3" fillId="10" borderId="15" xfId="0" applyFont="1" applyFill="1" applyBorder="1" applyAlignment="1"/>
    <xf numFmtId="178" fontId="7" fillId="6" borderId="3" xfId="0" applyNumberFormat="1" applyFont="1" applyFill="1" applyBorder="1" applyAlignment="1">
      <alignment horizontal="center"/>
    </xf>
    <xf numFmtId="0" fontId="3" fillId="6" borderId="3" xfId="0" applyFont="1" applyFill="1" applyBorder="1" applyAlignment="1"/>
  </cellXfs>
  <cellStyles count="49">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s>
  <dxfs count="17">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 name="PivotStylePreset2_Accent1" table="0" count="10" xr9:uid="{267968C8-6FFD-4C36-ACC1-9EA1FD1885CA}">
      <tableStyleElement type="headerRow" dxfId="16"/>
      <tableStyleElement type="totalRow" dxfId="15"/>
      <tableStyleElement type="firstRowStripe" dxfId="14"/>
      <tableStyleElement type="firstColumnStripe" dxfId="13"/>
      <tableStyleElement type="firstSubtotalRow" dxfId="12"/>
      <tableStyleElement type="secondSubtotalRow" dxfId="11"/>
      <tableStyleElement type="firstRowSubheading" dxfId="10"/>
      <tableStyleElement type="secondRowSubheading" dxfId="9"/>
      <tableStyleElement type="pageFieldLabels" dxfId="8"/>
      <tableStyleElement type="pageFieldValues" dxfId="7"/>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0</xdr:col>
      <xdr:colOff>733425</xdr:colOff>
      <xdr:row>0</xdr:row>
      <xdr:rowOff>209550</xdr:rowOff>
    </xdr:from>
    <xdr:ext cx="2676525" cy="609600"/>
    <xdr:pic>
      <xdr:nvPicPr>
        <xdr:cNvPr id="2" name="image1.png"/>
        <xdr:cNvPicPr preferRelativeResize="0"/>
      </xdr:nvPicPr>
      <xdr:blipFill>
        <a:blip r:embed="rId1" cstate="print"/>
        <a:stretch>
          <a:fillRect/>
        </a:stretch>
      </xdr:blipFill>
      <xdr:spPr>
        <a:xfrm>
          <a:off x="733425" y="209550"/>
          <a:ext cx="2676525" cy="609600"/>
        </a:xfrm>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hyperlink" Target="http://14.176.232.213:8080/EBankingWebsite/faces/admin/Login"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14.176.232.213:8080/EBankingWebsite/faces/banktransfer.xhtml"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14.176.232.213:8080/EBankingWebsite/faces/transaction.x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A1015"/>
  <sheetViews>
    <sheetView showGridLines="0" topLeftCell="A4" workbookViewId="0">
      <selection activeCell="A1" sqref="A1"/>
    </sheetView>
  </sheetViews>
  <sheetFormatPr defaultColWidth="12.6272727272727" defaultRowHeight="15" customHeight="1"/>
  <cols>
    <col min="1" max="1" width="10.7545454545455" customWidth="1"/>
    <col min="2" max="2" width="34.8818181818182" customWidth="1"/>
    <col min="3" max="3" width="31.2545454545455" customWidth="1"/>
    <col min="4" max="4" width="16.2545454545455" customWidth="1"/>
    <col min="5" max="5" width="21" customWidth="1"/>
    <col min="6" max="6" width="27.3818181818182" customWidth="1"/>
    <col min="7" max="7" width="23.2545454545455" customWidth="1"/>
    <col min="8" max="8" width="25.8818181818182" customWidth="1"/>
    <col min="9" max="9" width="30" customWidth="1"/>
    <col min="10" max="10" width="14" customWidth="1"/>
    <col min="11" max="11" width="21.3818181818182" customWidth="1"/>
    <col min="12" max="12" width="13.2545454545455" customWidth="1"/>
    <col min="13" max="13" width="14.8818181818182" customWidth="1"/>
    <col min="14" max="14" width="15.1272727272727" customWidth="1"/>
    <col min="15" max="27" width="8" customWidth="1"/>
  </cols>
  <sheetData>
    <row r="1" ht="22.5" customHeight="1" spans="3:3">
      <c r="C1" s="74" t="s">
        <v>0</v>
      </c>
    </row>
    <row r="2" ht="12.75" customHeight="1"/>
    <row r="3" ht="12.75" customHeight="1"/>
    <row r="4" ht="12.75" customHeight="1"/>
    <row r="5" ht="25.5" customHeight="1"/>
    <row r="6" ht="15.75" customHeight="1" spans="2:11">
      <c r="B6" s="75" t="s">
        <v>1</v>
      </c>
      <c r="C6" s="76" t="s">
        <v>2</v>
      </c>
      <c r="D6" s="77"/>
      <c r="E6" s="77"/>
      <c r="F6" s="77"/>
      <c r="G6" s="77"/>
      <c r="H6" s="77"/>
      <c r="I6" s="77"/>
      <c r="J6" s="77"/>
      <c r="K6" s="77"/>
    </row>
    <row r="7" ht="15.75" customHeight="1" spans="2:11">
      <c r="B7" s="78" t="s">
        <v>3</v>
      </c>
      <c r="C7" s="79" t="s">
        <v>4</v>
      </c>
      <c r="D7" s="77"/>
      <c r="E7" s="77"/>
      <c r="F7" s="77"/>
      <c r="G7" s="77"/>
      <c r="H7" s="77"/>
      <c r="I7" s="77"/>
      <c r="J7" s="77"/>
      <c r="K7" s="77"/>
    </row>
    <row r="8" ht="15.75" customHeight="1" spans="2:11">
      <c r="B8" s="80"/>
      <c r="C8" s="77"/>
      <c r="D8" s="77"/>
      <c r="E8" s="77"/>
      <c r="F8" s="77"/>
      <c r="G8" s="77"/>
      <c r="H8" s="77"/>
      <c r="I8" s="77"/>
      <c r="J8" s="77"/>
      <c r="K8" s="77"/>
    </row>
    <row r="9" customHeight="1" spans="2:11">
      <c r="B9" s="81" t="s">
        <v>5</v>
      </c>
      <c r="C9" s="82" t="s">
        <v>6</v>
      </c>
      <c r="D9" s="77"/>
      <c r="E9" s="77"/>
      <c r="F9" s="77"/>
      <c r="G9" s="77"/>
      <c r="H9" s="77"/>
      <c r="I9" s="77"/>
      <c r="J9" s="77"/>
      <c r="K9" s="77"/>
    </row>
    <row r="10" customHeight="1" spans="2:11">
      <c r="B10" s="83" t="s">
        <v>7</v>
      </c>
      <c r="C10" s="82" t="s">
        <v>8</v>
      </c>
      <c r="D10" s="77"/>
      <c r="E10" s="77"/>
      <c r="F10" s="77"/>
      <c r="G10" s="77"/>
      <c r="H10" s="77"/>
      <c r="I10" s="77"/>
      <c r="J10" s="77"/>
      <c r="K10" s="77"/>
    </row>
    <row r="11" customHeight="1" spans="2:11">
      <c r="B11" s="83" t="s">
        <v>9</v>
      </c>
      <c r="C11" s="82" t="s">
        <v>10</v>
      </c>
      <c r="D11" s="77"/>
      <c r="E11" s="77"/>
      <c r="F11" s="77"/>
      <c r="G11" s="77"/>
      <c r="H11" s="77"/>
      <c r="I11" s="77"/>
      <c r="J11" s="77"/>
      <c r="K11" s="77"/>
    </row>
    <row r="12" ht="15.75" customHeight="1" spans="2:11">
      <c r="B12" s="78" t="s">
        <v>11</v>
      </c>
      <c r="C12" s="82" t="s">
        <v>10</v>
      </c>
      <c r="D12" s="77"/>
      <c r="E12" s="77"/>
      <c r="F12" s="77"/>
      <c r="G12" s="77"/>
      <c r="H12" s="77"/>
      <c r="I12" s="77"/>
      <c r="J12" s="77"/>
      <c r="K12" s="77"/>
    </row>
    <row r="13" customHeight="1" spans="2:11">
      <c r="B13" s="77"/>
      <c r="C13" s="77"/>
      <c r="D13" s="77"/>
      <c r="E13" s="77"/>
      <c r="F13" s="77"/>
      <c r="G13" s="77"/>
      <c r="H13" s="77"/>
      <c r="I13" s="77"/>
      <c r="J13" s="77"/>
      <c r="K13" s="77"/>
    </row>
    <row r="14" ht="15.75" customHeight="1" spans="2:11">
      <c r="B14" s="77"/>
      <c r="C14" s="77"/>
      <c r="D14" s="77"/>
      <c r="E14" s="77"/>
      <c r="F14" s="77"/>
      <c r="G14" s="77"/>
      <c r="H14" s="77"/>
      <c r="I14" s="77"/>
      <c r="J14" s="77"/>
      <c r="K14" s="77"/>
    </row>
    <row r="15" ht="16.5" customHeight="1" spans="2:11">
      <c r="B15" s="84" t="s">
        <v>12</v>
      </c>
      <c r="C15" s="85"/>
      <c r="D15" s="77"/>
      <c r="E15" s="77"/>
      <c r="F15" s="77"/>
      <c r="G15" s="77"/>
      <c r="H15" s="77"/>
      <c r="I15" s="77"/>
      <c r="J15" s="77"/>
      <c r="K15" s="77"/>
    </row>
    <row r="16" ht="16.5" customHeight="1" spans="2:11">
      <c r="B16" s="77"/>
      <c r="C16" s="77"/>
      <c r="D16" s="77"/>
      <c r="E16" s="86"/>
      <c r="F16" s="77"/>
      <c r="G16" s="77"/>
      <c r="H16" s="77"/>
      <c r="I16" s="77"/>
      <c r="J16" s="77"/>
      <c r="K16" s="77"/>
    </row>
    <row r="17" customHeight="1" spans="2:11">
      <c r="B17" s="81" t="s">
        <v>13</v>
      </c>
      <c r="C17" s="87" t="s">
        <v>14</v>
      </c>
      <c r="D17" s="77"/>
      <c r="E17" s="77"/>
      <c r="F17" s="77"/>
      <c r="G17" s="77"/>
      <c r="H17" s="77"/>
      <c r="I17" s="77"/>
      <c r="J17" s="77"/>
      <c r="K17" s="77"/>
    </row>
    <row r="18" customHeight="1" spans="2:11">
      <c r="B18" s="88" t="s">
        <v>15</v>
      </c>
      <c r="C18" s="89" t="s">
        <v>16</v>
      </c>
      <c r="D18" s="77"/>
      <c r="E18" s="77"/>
      <c r="F18" s="77"/>
      <c r="G18" s="77"/>
      <c r="H18" s="77"/>
      <c r="I18" s="77"/>
      <c r="J18" s="77"/>
      <c r="K18" s="77"/>
    </row>
    <row r="19" customHeight="1" spans="2:11">
      <c r="B19" s="83" t="s">
        <v>17</v>
      </c>
      <c r="C19" s="82" t="s">
        <v>18</v>
      </c>
      <c r="D19" s="77"/>
      <c r="E19" s="77"/>
      <c r="F19" s="77"/>
      <c r="G19" s="77"/>
      <c r="H19" s="77"/>
      <c r="I19" s="77"/>
      <c r="J19" s="77"/>
      <c r="K19" s="77"/>
    </row>
    <row r="20" customHeight="1" spans="2:11">
      <c r="B20" s="83" t="s">
        <v>19</v>
      </c>
      <c r="C20" s="89">
        <f>SUM(E22:E109)</f>
        <v>427</v>
      </c>
      <c r="E20" s="77"/>
      <c r="F20" s="77"/>
      <c r="G20" s="77"/>
      <c r="H20" s="77"/>
      <c r="I20" s="77"/>
      <c r="J20" s="77"/>
      <c r="K20" s="77"/>
    </row>
    <row r="21" customHeight="1" spans="2:11">
      <c r="B21" s="77"/>
      <c r="C21" s="77"/>
      <c r="D21" s="77"/>
      <c r="E21" s="77"/>
      <c r="F21" s="77"/>
      <c r="G21" s="77"/>
      <c r="H21" s="77"/>
      <c r="I21" s="77"/>
      <c r="J21" s="77"/>
      <c r="K21" s="77"/>
    </row>
    <row r="22" ht="15.75" customHeight="1" spans="2:11">
      <c r="B22" s="77"/>
      <c r="C22" s="77"/>
      <c r="D22" s="77"/>
      <c r="E22" s="77"/>
      <c r="F22" s="77"/>
      <c r="G22" s="77"/>
      <c r="H22" s="77"/>
      <c r="I22" s="77"/>
      <c r="J22" s="77"/>
      <c r="K22" s="77"/>
    </row>
    <row r="23" ht="15.75" customHeight="1" spans="2:11">
      <c r="B23" s="90" t="s">
        <v>20</v>
      </c>
      <c r="C23" s="91"/>
      <c r="D23" s="91"/>
      <c r="E23" s="91"/>
      <c r="F23" s="91"/>
      <c r="G23" s="91"/>
      <c r="H23" s="91"/>
      <c r="I23" s="91"/>
      <c r="J23" s="91"/>
      <c r="K23" s="117"/>
    </row>
    <row r="24" ht="30" customHeight="1" spans="2:11">
      <c r="B24" s="92" t="s">
        <v>21</v>
      </c>
      <c r="C24" s="92" t="s">
        <v>22</v>
      </c>
      <c r="D24" s="92" t="s">
        <v>23</v>
      </c>
      <c r="E24" s="92" t="s">
        <v>24</v>
      </c>
      <c r="F24" s="93" t="s">
        <v>25</v>
      </c>
      <c r="G24" s="92" t="s">
        <v>26</v>
      </c>
      <c r="H24" s="92" t="s">
        <v>27</v>
      </c>
      <c r="I24" s="92" t="s">
        <v>28</v>
      </c>
      <c r="J24" s="92" t="s">
        <v>29</v>
      </c>
      <c r="K24" s="92" t="s">
        <v>30</v>
      </c>
    </row>
    <row r="25" customHeight="1" spans="2:11">
      <c r="B25" s="94" t="s">
        <v>31</v>
      </c>
      <c r="C25" s="95" t="s">
        <v>32</v>
      </c>
      <c r="D25" s="96" t="s">
        <v>33</v>
      </c>
      <c r="E25" s="97" t="s">
        <v>34</v>
      </c>
      <c r="F25" s="98">
        <v>0.1</v>
      </c>
      <c r="G25" s="99" t="s">
        <v>35</v>
      </c>
      <c r="H25" s="100"/>
      <c r="I25" s="100">
        <v>45155</v>
      </c>
      <c r="J25" s="99"/>
      <c r="K25" s="100">
        <v>41708</v>
      </c>
    </row>
    <row r="26" customHeight="1" spans="2:11">
      <c r="B26" s="101" t="s">
        <v>36</v>
      </c>
      <c r="C26" s="95"/>
      <c r="D26" s="96"/>
      <c r="E26" s="97"/>
      <c r="F26" s="98">
        <v>0.1</v>
      </c>
      <c r="G26" s="99"/>
      <c r="H26" s="100"/>
      <c r="I26" s="100"/>
      <c r="J26" s="99"/>
      <c r="K26" s="100"/>
    </row>
    <row r="27" customHeight="1" spans="2:11">
      <c r="B27" s="101" t="s">
        <v>37</v>
      </c>
      <c r="C27" s="95"/>
      <c r="D27" s="96"/>
      <c r="E27" s="97"/>
      <c r="F27" s="98">
        <v>0.1</v>
      </c>
      <c r="G27" s="99"/>
      <c r="H27" s="99"/>
      <c r="I27" s="99"/>
      <c r="J27" s="99"/>
      <c r="K27" s="99"/>
    </row>
    <row r="28" customHeight="1" spans="2:11">
      <c r="B28" s="101" t="s">
        <v>38</v>
      </c>
      <c r="C28" s="95"/>
      <c r="D28" s="96"/>
      <c r="E28" s="97"/>
      <c r="F28" s="98">
        <v>0.1</v>
      </c>
      <c r="G28" s="99"/>
      <c r="H28" s="99"/>
      <c r="I28" s="99"/>
      <c r="J28" s="99"/>
      <c r="K28" s="99"/>
    </row>
    <row r="29" customHeight="1" spans="2:11">
      <c r="B29" s="101" t="s">
        <v>39</v>
      </c>
      <c r="C29" s="95"/>
      <c r="D29" s="96"/>
      <c r="E29" s="97"/>
      <c r="F29" s="98">
        <v>0.1</v>
      </c>
      <c r="G29" s="99"/>
      <c r="H29" s="99"/>
      <c r="I29" s="99"/>
      <c r="J29" s="99"/>
      <c r="K29" s="99"/>
    </row>
    <row r="30" customHeight="1" spans="2:11">
      <c r="B30" s="101" t="s">
        <v>40</v>
      </c>
      <c r="C30" s="95"/>
      <c r="D30" s="96"/>
      <c r="E30" s="97"/>
      <c r="F30" s="98">
        <v>0.1</v>
      </c>
      <c r="G30" s="99"/>
      <c r="H30" s="99"/>
      <c r="I30" s="99"/>
      <c r="J30" s="99"/>
      <c r="K30" s="99"/>
    </row>
    <row r="31" customHeight="1" spans="2:11">
      <c r="B31" s="101" t="s">
        <v>41</v>
      </c>
      <c r="C31" s="95"/>
      <c r="D31" s="96"/>
      <c r="E31" s="97"/>
      <c r="F31" s="98">
        <v>0.1</v>
      </c>
      <c r="G31" s="102"/>
      <c r="H31" s="102"/>
      <c r="I31" s="102"/>
      <c r="J31" s="102"/>
      <c r="K31" s="102"/>
    </row>
    <row r="32" customHeight="1" spans="2:11">
      <c r="B32" s="103"/>
      <c r="C32" s="104"/>
      <c r="D32" s="105"/>
      <c r="E32" s="106"/>
      <c r="F32" s="104"/>
      <c r="G32" s="107"/>
      <c r="H32" s="107"/>
      <c r="I32" s="107"/>
      <c r="J32" s="107"/>
      <c r="K32" s="107"/>
    </row>
    <row r="33" customHeight="1" spans="2:11">
      <c r="B33" s="77"/>
      <c r="C33" s="77"/>
      <c r="D33" s="77"/>
      <c r="E33" s="77"/>
      <c r="F33" s="77"/>
      <c r="G33" s="77"/>
      <c r="H33" s="77"/>
      <c r="I33" s="77"/>
      <c r="J33" s="77"/>
      <c r="K33" s="77"/>
    </row>
    <row r="34" customHeight="1" spans="1:27">
      <c r="A34" s="108"/>
      <c r="B34" s="109" t="s">
        <v>42</v>
      </c>
      <c r="C34" s="14"/>
      <c r="D34" s="14"/>
      <c r="E34" s="14"/>
      <c r="F34" s="14"/>
      <c r="G34" s="14"/>
      <c r="H34" s="14"/>
      <c r="I34" s="14"/>
      <c r="J34" s="22"/>
      <c r="K34" s="118"/>
      <c r="L34" s="118"/>
      <c r="M34" s="118"/>
      <c r="N34" s="118"/>
      <c r="O34" s="118"/>
      <c r="P34" s="119"/>
      <c r="Q34" s="114"/>
      <c r="R34" s="114"/>
      <c r="S34" s="114"/>
      <c r="T34" s="114"/>
      <c r="U34" s="114"/>
      <c r="V34" s="114"/>
      <c r="W34" s="114"/>
      <c r="X34" s="114"/>
      <c r="Y34" s="114"/>
      <c r="Z34" s="114"/>
      <c r="AA34" s="114"/>
    </row>
    <row r="35" customHeight="1" spans="1:27">
      <c r="A35" s="108"/>
      <c r="B35" s="110" t="s">
        <v>21</v>
      </c>
      <c r="C35" s="110" t="s">
        <v>43</v>
      </c>
      <c r="D35" s="110" t="s">
        <v>44</v>
      </c>
      <c r="E35" s="110" t="s">
        <v>45</v>
      </c>
      <c r="F35" s="110" t="s">
        <v>46</v>
      </c>
      <c r="G35" s="110" t="s">
        <v>47</v>
      </c>
      <c r="H35" s="110" t="s">
        <v>48</v>
      </c>
      <c r="I35" s="110" t="s">
        <v>49</v>
      </c>
      <c r="J35" s="110" t="s">
        <v>50</v>
      </c>
      <c r="K35" s="110" t="s">
        <v>51</v>
      </c>
      <c r="L35" s="110" t="s">
        <v>52</v>
      </c>
      <c r="M35" s="110" t="s">
        <v>53</v>
      </c>
      <c r="N35" s="110" t="s">
        <v>54</v>
      </c>
      <c r="O35" s="110" t="s">
        <v>55</v>
      </c>
      <c r="P35" s="110" t="s">
        <v>56</v>
      </c>
      <c r="Q35" s="114"/>
      <c r="R35" s="114"/>
      <c r="S35" s="114"/>
      <c r="T35" s="114"/>
      <c r="U35" s="114"/>
      <c r="V35" s="114"/>
      <c r="W35" s="114"/>
      <c r="X35" s="114"/>
      <c r="Y35" s="114"/>
      <c r="Z35" s="114"/>
      <c r="AA35" s="114"/>
    </row>
    <row r="36" customHeight="1" spans="1:27">
      <c r="A36" s="108"/>
      <c r="B36" s="111" t="s">
        <v>36</v>
      </c>
      <c r="C36" s="112" t="s">
        <v>57</v>
      </c>
      <c r="D36" s="112" t="s">
        <v>57</v>
      </c>
      <c r="E36" s="113">
        <f>46</f>
        <v>46</v>
      </c>
      <c r="F36" s="112">
        <f>25</f>
        <v>25</v>
      </c>
      <c r="G36" s="112">
        <f>21</f>
        <v>21</v>
      </c>
      <c r="H36" s="112">
        <f t="shared" ref="H36:I36" si="0">0</f>
        <v>0</v>
      </c>
      <c r="I36" s="112">
        <f t="shared" si="0"/>
        <v>0</v>
      </c>
      <c r="J36" s="112">
        <f>ROUND((F36+G36+H36)/E36*100,2)</f>
        <v>100</v>
      </c>
      <c r="K36" s="59"/>
      <c r="L36" s="59" t="s">
        <v>58</v>
      </c>
      <c r="M36" s="120">
        <v>45155</v>
      </c>
      <c r="N36" s="120">
        <v>45162</v>
      </c>
      <c r="O36" s="59" t="s">
        <v>59</v>
      </c>
      <c r="P36" s="59"/>
      <c r="Q36" s="114"/>
      <c r="R36" s="114"/>
      <c r="S36" s="114"/>
      <c r="T36" s="114"/>
      <c r="U36" s="114"/>
      <c r="V36" s="114"/>
      <c r="W36" s="114"/>
      <c r="X36" s="114"/>
      <c r="Y36" s="114"/>
      <c r="Z36" s="114"/>
      <c r="AA36" s="114"/>
    </row>
    <row r="37" customHeight="1" spans="1:27">
      <c r="A37" s="114"/>
      <c r="B37" s="101" t="s">
        <v>37</v>
      </c>
      <c r="C37" s="112" t="s">
        <v>57</v>
      </c>
      <c r="D37" s="112" t="s">
        <v>57</v>
      </c>
      <c r="E37" s="115">
        <v>47</v>
      </c>
      <c r="F37" s="116">
        <v>16</v>
      </c>
      <c r="G37" s="116">
        <v>28</v>
      </c>
      <c r="H37" s="116">
        <v>3</v>
      </c>
      <c r="I37" s="112">
        <v>0</v>
      </c>
      <c r="J37" s="116"/>
      <c r="K37" s="121"/>
      <c r="L37" s="121" t="s">
        <v>60</v>
      </c>
      <c r="M37" s="120">
        <v>45155</v>
      </c>
      <c r="N37" s="120">
        <v>45162</v>
      </c>
      <c r="O37" s="59" t="s">
        <v>61</v>
      </c>
      <c r="P37" s="121"/>
      <c r="Q37" s="114"/>
      <c r="R37" s="114"/>
      <c r="S37" s="114"/>
      <c r="T37" s="114"/>
      <c r="U37" s="114"/>
      <c r="V37" s="114"/>
      <c r="W37" s="114"/>
      <c r="X37" s="114"/>
      <c r="Y37" s="114"/>
      <c r="Z37" s="114"/>
      <c r="AA37" s="114"/>
    </row>
    <row r="38" customHeight="1" spans="1:27">
      <c r="A38" s="114"/>
      <c r="B38" s="101" t="s">
        <v>38</v>
      </c>
      <c r="C38" s="112" t="s">
        <v>57</v>
      </c>
      <c r="D38" s="112" t="s">
        <v>57</v>
      </c>
      <c r="E38" s="115">
        <v>73</v>
      </c>
      <c r="F38" s="116">
        <v>47</v>
      </c>
      <c r="G38" s="116">
        <v>14</v>
      </c>
      <c r="H38" s="116">
        <v>12</v>
      </c>
      <c r="I38" s="112">
        <v>0</v>
      </c>
      <c r="J38" s="116"/>
      <c r="K38" s="121"/>
      <c r="L38" s="121" t="s">
        <v>60</v>
      </c>
      <c r="M38" s="120">
        <v>45162</v>
      </c>
      <c r="N38" s="120">
        <v>45533</v>
      </c>
      <c r="O38" s="121" t="s">
        <v>62</v>
      </c>
      <c r="P38" s="121"/>
      <c r="Q38" s="114"/>
      <c r="R38" s="114"/>
      <c r="S38" s="114"/>
      <c r="T38" s="114"/>
      <c r="U38" s="114"/>
      <c r="V38" s="114"/>
      <c r="W38" s="114"/>
      <c r="X38" s="114"/>
      <c r="Y38" s="114"/>
      <c r="Z38" s="114"/>
      <c r="AA38" s="114"/>
    </row>
    <row r="39" customHeight="1" spans="1:27">
      <c r="A39" s="114"/>
      <c r="B39" s="101" t="s">
        <v>39</v>
      </c>
      <c r="C39" s="112" t="s">
        <v>57</v>
      </c>
      <c r="D39" s="112" t="s">
        <v>57</v>
      </c>
      <c r="E39" s="115">
        <v>96</v>
      </c>
      <c r="F39" s="116">
        <v>56</v>
      </c>
      <c r="G39" s="116">
        <v>28</v>
      </c>
      <c r="H39" s="116">
        <v>12</v>
      </c>
      <c r="I39" s="112">
        <f t="shared" ref="I39:I40" si="1">0</f>
        <v>0</v>
      </c>
      <c r="J39" s="116"/>
      <c r="K39" s="121"/>
      <c r="L39" s="121" t="s">
        <v>58</v>
      </c>
      <c r="M39" s="120">
        <v>45528</v>
      </c>
      <c r="N39" s="120">
        <v>45167</v>
      </c>
      <c r="O39" s="121" t="s">
        <v>63</v>
      </c>
      <c r="P39" s="121"/>
      <c r="Q39" s="114"/>
      <c r="R39" s="114"/>
      <c r="S39" s="114"/>
      <c r="T39" s="114"/>
      <c r="U39" s="114"/>
      <c r="V39" s="114"/>
      <c r="W39" s="114"/>
      <c r="X39" s="114"/>
      <c r="Y39" s="114"/>
      <c r="Z39" s="114"/>
      <c r="AA39" s="114"/>
    </row>
    <row r="40" customHeight="1" spans="1:27">
      <c r="A40" s="114"/>
      <c r="B40" s="101" t="s">
        <v>40</v>
      </c>
      <c r="C40" s="112" t="s">
        <v>57</v>
      </c>
      <c r="D40" s="112" t="s">
        <v>57</v>
      </c>
      <c r="E40" s="115">
        <v>74</v>
      </c>
      <c r="F40" s="116">
        <v>44</v>
      </c>
      <c r="G40" s="116">
        <v>25</v>
      </c>
      <c r="H40" s="116">
        <v>5</v>
      </c>
      <c r="I40" s="112">
        <f t="shared" si="1"/>
        <v>0</v>
      </c>
      <c r="J40" s="116"/>
      <c r="K40" s="121"/>
      <c r="L40" s="121" t="s">
        <v>58</v>
      </c>
      <c r="M40" s="120">
        <v>45167</v>
      </c>
      <c r="N40" s="120">
        <v>45172</v>
      </c>
      <c r="O40" s="121" t="s">
        <v>64</v>
      </c>
      <c r="P40" s="121"/>
      <c r="Q40" s="114"/>
      <c r="R40" s="114"/>
      <c r="S40" s="114"/>
      <c r="T40" s="114"/>
      <c r="U40" s="114"/>
      <c r="V40" s="114"/>
      <c r="W40" s="114"/>
      <c r="X40" s="114"/>
      <c r="Y40" s="114"/>
      <c r="Z40" s="114"/>
      <c r="AA40" s="114"/>
    </row>
    <row r="41" customHeight="1" spans="1:27">
      <c r="A41" s="114"/>
      <c r="B41" s="101" t="s">
        <v>41</v>
      </c>
      <c r="C41" s="112" t="s">
        <v>57</v>
      </c>
      <c r="D41" s="112" t="s">
        <v>57</v>
      </c>
      <c r="E41" s="115">
        <v>91</v>
      </c>
      <c r="F41" s="116">
        <v>61</v>
      </c>
      <c r="G41" s="116">
        <v>26</v>
      </c>
      <c r="H41" s="116">
        <v>0</v>
      </c>
      <c r="I41" s="112">
        <f>4</f>
        <v>4</v>
      </c>
      <c r="J41" s="116"/>
      <c r="K41" s="121"/>
      <c r="L41" s="121" t="s">
        <v>60</v>
      </c>
      <c r="M41" s="120">
        <v>45167</v>
      </c>
      <c r="N41" s="120">
        <v>45172</v>
      </c>
      <c r="O41" s="121" t="s">
        <v>59</v>
      </c>
      <c r="P41" s="121"/>
      <c r="Q41" s="114"/>
      <c r="R41" s="114"/>
      <c r="S41" s="114"/>
      <c r="T41" s="114"/>
      <c r="U41" s="114"/>
      <c r="V41" s="114"/>
      <c r="W41" s="114"/>
      <c r="X41" s="114"/>
      <c r="Y41" s="114"/>
      <c r="Z41" s="114"/>
      <c r="AA41" s="114"/>
    </row>
    <row r="42" customHeight="1" spans="8:11">
      <c r="H42" s="77"/>
      <c r="I42" s="77"/>
      <c r="J42" s="77"/>
      <c r="K42" s="77"/>
    </row>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sheetData>
  <mergeCells count="3">
    <mergeCell ref="B23:K23"/>
    <mergeCell ref="B34:J34"/>
    <mergeCell ref="C1:C4"/>
  </mergeCells>
  <dataValidations count="1">
    <dataValidation type="list" allowBlank="1" showInputMessage="1" showErrorMessage="1" prompt=" - " sqref="C11">
      <formula1>"None,2G,2,5G,2,75G,3G"</formula1>
    </dataValidation>
  </dataValidations>
  <hyperlinks>
    <hyperlink ref="B26" location="'TC - Deposit money'!A1" display="Deposit money"/>
    <hyperlink ref="B27" location="'Withdraw money'!A1" display="Withdraw money"/>
    <hyperlink ref="B28" location="'Internal Transfer Money'!A1" display="Internal Transaction"/>
    <hyperlink ref="B29" location="'External Transfer money'!A1" display="External Transaction"/>
    <hyperlink ref="B30" location="'User_History transaction'!A1" display="User_History transaction"/>
    <hyperlink ref="B31" location="'Admin_History Transaction'!A1" display="Admin_History Transaction"/>
    <hyperlink ref="B36" location="'TC - Deposit money'!A1" display="Deposit money"/>
    <hyperlink ref="B37" location="'Withdraw money'!A1" display="Withdraw money"/>
    <hyperlink ref="B38" location="'Internal Transfer Money'!A1" display="Internal Transaction"/>
    <hyperlink ref="B39" location="'External Transfer money'!A1" display="External Transaction"/>
    <hyperlink ref="B40" location="'User_History transaction'!A1" display="User_History transaction"/>
    <hyperlink ref="B41" location="'Admin_History Transaction'!A1" display="Admin_History Transaction"/>
  </hyperlinks>
  <pageMargins left="0.7" right="0.7" top="0.75" bottom="0.75" header="0" footer="0"/>
  <pageSetup paperSize="1" orientation="landscape"/>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outlinePr summaryBelow="0" summaryRight="0"/>
  </sheetPr>
  <dimension ref="A1:F77"/>
  <sheetViews>
    <sheetView topLeftCell="A3" workbookViewId="0">
      <selection activeCell="H5" sqref="H5"/>
    </sheetView>
  </sheetViews>
  <sheetFormatPr defaultColWidth="12.6272727272727" defaultRowHeight="15" customHeight="1" outlineLevelCol="5"/>
  <cols>
    <col min="1" max="1" width="22.1272727272727" customWidth="1"/>
    <col min="2" max="2" width="17.2545454545455" customWidth="1"/>
    <col min="3" max="3" width="23.7545454545455" customWidth="1"/>
    <col min="4" max="4" width="20.6272727272727" customWidth="1"/>
    <col min="5" max="5" width="28.5" customWidth="1"/>
    <col min="6" max="6" width="13.2545454545455" customWidth="1"/>
    <col min="7" max="7" width="14.7545454545455" customWidth="1"/>
  </cols>
  <sheetData>
    <row r="1" customHeight="1" spans="1:6">
      <c r="A1" s="51" t="s">
        <v>65</v>
      </c>
      <c r="B1" s="52"/>
      <c r="C1" s="52"/>
      <c r="D1" s="52"/>
      <c r="E1" s="52"/>
      <c r="F1" s="52"/>
    </row>
    <row r="2" ht="28" spans="1:6">
      <c r="A2" s="53" t="s">
        <v>66</v>
      </c>
      <c r="B2" s="54" t="s">
        <v>67</v>
      </c>
      <c r="C2" s="54" t="s">
        <v>68</v>
      </c>
      <c r="D2" s="54" t="s">
        <v>69</v>
      </c>
      <c r="E2" s="54" t="s">
        <v>70</v>
      </c>
      <c r="F2" s="54" t="s">
        <v>71</v>
      </c>
    </row>
    <row r="3" ht="28" spans="1:6">
      <c r="A3" s="55" t="s">
        <v>36</v>
      </c>
      <c r="B3" s="56" t="s">
        <v>72</v>
      </c>
      <c r="C3" s="57" t="s">
        <v>73</v>
      </c>
      <c r="D3" s="58" t="s">
        <v>74</v>
      </c>
      <c r="E3" s="59"/>
      <c r="F3" s="60">
        <v>1</v>
      </c>
    </row>
    <row r="4" ht="14" spans="1:6">
      <c r="A4" s="19"/>
      <c r="B4" s="61" t="s">
        <v>75</v>
      </c>
      <c r="C4" s="56" t="s">
        <v>76</v>
      </c>
      <c r="D4" s="58" t="s">
        <v>74</v>
      </c>
      <c r="E4" s="56"/>
      <c r="F4" s="60">
        <v>1</v>
      </c>
    </row>
    <row r="5" ht="28" spans="1:6">
      <c r="A5" s="19"/>
      <c r="B5" s="8"/>
      <c r="C5" s="56" t="s">
        <v>77</v>
      </c>
      <c r="D5" s="58" t="s">
        <v>74</v>
      </c>
      <c r="E5" s="56" t="s">
        <v>78</v>
      </c>
      <c r="F5" s="62">
        <v>3</v>
      </c>
    </row>
    <row r="6" ht="14" spans="1:6">
      <c r="A6" s="19"/>
      <c r="B6" s="10"/>
      <c r="C6" s="56" t="s">
        <v>79</v>
      </c>
      <c r="D6" s="58" t="s">
        <v>74</v>
      </c>
      <c r="E6" s="56"/>
      <c r="F6" s="63">
        <v>2</v>
      </c>
    </row>
    <row r="7" ht="14" spans="1:6">
      <c r="A7" s="19"/>
      <c r="B7" s="64" t="s">
        <v>80</v>
      </c>
      <c r="C7" s="62" t="s">
        <v>81</v>
      </c>
      <c r="D7" s="58" t="s">
        <v>74</v>
      </c>
      <c r="E7" s="65"/>
      <c r="F7" s="62">
        <v>1</v>
      </c>
    </row>
    <row r="8" ht="25" spans="1:6">
      <c r="A8" s="19"/>
      <c r="B8" s="19"/>
      <c r="C8" s="62" t="s">
        <v>82</v>
      </c>
      <c r="D8" s="58" t="s">
        <v>74</v>
      </c>
      <c r="E8" s="66" t="s">
        <v>78</v>
      </c>
      <c r="F8" s="62">
        <v>2</v>
      </c>
    </row>
    <row r="9" ht="14" spans="1:6">
      <c r="A9" s="19"/>
      <c r="B9" s="20"/>
      <c r="C9" s="62" t="s">
        <v>79</v>
      </c>
      <c r="D9" s="58" t="s">
        <v>74</v>
      </c>
      <c r="E9" s="65"/>
      <c r="F9" s="62">
        <v>2</v>
      </c>
    </row>
    <row r="10" ht="14" spans="1:6">
      <c r="A10" s="19"/>
      <c r="B10" s="64" t="s">
        <v>83</v>
      </c>
      <c r="C10" s="62" t="s">
        <v>81</v>
      </c>
      <c r="D10" s="58" t="s">
        <v>74</v>
      </c>
      <c r="E10" s="65"/>
      <c r="F10" s="62">
        <v>1</v>
      </c>
    </row>
    <row r="11" ht="14" spans="1:6">
      <c r="A11" s="19"/>
      <c r="B11" s="19"/>
      <c r="C11" s="62" t="s">
        <v>84</v>
      </c>
      <c r="D11" s="58" t="s">
        <v>74</v>
      </c>
      <c r="E11" s="65"/>
      <c r="F11" s="62">
        <v>2</v>
      </c>
    </row>
    <row r="12" ht="14" spans="1:6">
      <c r="A12" s="19"/>
      <c r="B12" s="19"/>
      <c r="C12" s="62" t="s">
        <v>85</v>
      </c>
      <c r="D12" s="58" t="s">
        <v>74</v>
      </c>
      <c r="E12" s="62" t="s">
        <v>78</v>
      </c>
      <c r="F12" s="62">
        <v>3</v>
      </c>
    </row>
    <row r="13" ht="14" spans="1:6">
      <c r="A13" s="20"/>
      <c r="B13" s="20"/>
      <c r="C13" s="67" t="s">
        <v>86</v>
      </c>
      <c r="D13" s="58" t="s">
        <v>74</v>
      </c>
      <c r="E13" s="65"/>
      <c r="F13" s="62">
        <v>1</v>
      </c>
    </row>
    <row r="14" ht="14" spans="1:6">
      <c r="A14" s="40"/>
      <c r="B14" s="62"/>
      <c r="C14" s="67"/>
      <c r="D14" s="68"/>
      <c r="E14" s="65"/>
      <c r="F14" s="65">
        <f>SUM(F3:F13)</f>
        <v>19</v>
      </c>
    </row>
    <row r="15" ht="12.5"/>
    <row r="16" ht="16.5" spans="1:1">
      <c r="A16" s="51"/>
    </row>
    <row r="17" ht="12.5"/>
    <row r="18" ht="12.5"/>
    <row r="19" ht="12.5"/>
    <row r="20" ht="49.5" spans="1:1">
      <c r="A20" s="51" t="s">
        <v>87</v>
      </c>
    </row>
    <row r="21" ht="28" spans="1:6">
      <c r="A21" s="53" t="s">
        <v>66</v>
      </c>
      <c r="B21" s="54" t="s">
        <v>67</v>
      </c>
      <c r="C21" s="54" t="s">
        <v>68</v>
      </c>
      <c r="D21" s="54" t="s">
        <v>69</v>
      </c>
      <c r="E21" s="54" t="s">
        <v>70</v>
      </c>
      <c r="F21" s="54" t="s">
        <v>71</v>
      </c>
    </row>
    <row r="22" ht="14" spans="1:6">
      <c r="A22" s="40"/>
      <c r="B22" s="56"/>
      <c r="C22" s="57"/>
      <c r="D22" s="56"/>
      <c r="E22" s="69"/>
      <c r="F22" s="60"/>
    </row>
    <row r="23" ht="14" spans="1:6">
      <c r="A23" s="70" t="s">
        <v>88</v>
      </c>
      <c r="B23" s="56" t="s">
        <v>72</v>
      </c>
      <c r="C23" s="57"/>
      <c r="D23" s="56" t="s">
        <v>74</v>
      </c>
      <c r="E23" s="69"/>
      <c r="F23" s="60">
        <v>1</v>
      </c>
    </row>
    <row r="24" ht="28" spans="1:6">
      <c r="A24" s="19"/>
      <c r="B24" s="57" t="s">
        <v>89</v>
      </c>
      <c r="C24" s="57" t="s">
        <v>81</v>
      </c>
      <c r="D24" s="56" t="s">
        <v>74</v>
      </c>
      <c r="E24" s="56"/>
      <c r="F24" s="60"/>
    </row>
    <row r="25" ht="14" spans="1:6">
      <c r="A25" s="19"/>
      <c r="B25" s="71" t="s">
        <v>90</v>
      </c>
      <c r="C25" s="57" t="s">
        <v>91</v>
      </c>
      <c r="D25" s="56" t="s">
        <v>74</v>
      </c>
      <c r="E25" s="66"/>
      <c r="F25" s="60"/>
    </row>
    <row r="26" ht="14" spans="1:6">
      <c r="A26" s="19"/>
      <c r="B26" s="8"/>
      <c r="C26" s="57" t="s">
        <v>81</v>
      </c>
      <c r="D26" s="56" t="s">
        <v>74</v>
      </c>
      <c r="E26" s="66"/>
      <c r="F26" s="60"/>
    </row>
    <row r="27" ht="14" spans="1:6">
      <c r="A27" s="19"/>
      <c r="B27" s="8"/>
      <c r="C27" s="57" t="s">
        <v>91</v>
      </c>
      <c r="D27" s="56" t="s">
        <v>74</v>
      </c>
      <c r="E27" s="66"/>
      <c r="F27" s="60"/>
    </row>
    <row r="28" ht="14" spans="1:6">
      <c r="A28" s="19"/>
      <c r="B28" s="8"/>
      <c r="C28" s="57" t="s">
        <v>92</v>
      </c>
      <c r="D28" s="56" t="s">
        <v>74</v>
      </c>
      <c r="E28" s="66"/>
      <c r="F28" s="60"/>
    </row>
    <row r="29" ht="14" spans="1:6">
      <c r="A29" s="19"/>
      <c r="B29" s="8"/>
      <c r="C29" s="57" t="s">
        <v>93</v>
      </c>
      <c r="D29" s="56" t="s">
        <v>74</v>
      </c>
      <c r="E29" s="66"/>
      <c r="F29" s="60"/>
    </row>
    <row r="30" ht="25" spans="1:6">
      <c r="A30" s="19"/>
      <c r="B30" s="8"/>
      <c r="C30" s="57" t="s">
        <v>94</v>
      </c>
      <c r="D30" s="56"/>
      <c r="E30" s="66" t="s">
        <v>78</v>
      </c>
      <c r="F30" s="60"/>
    </row>
    <row r="31" ht="25" spans="1:6">
      <c r="A31" s="19"/>
      <c r="B31" s="10"/>
      <c r="C31" s="57" t="s">
        <v>95</v>
      </c>
      <c r="D31" s="56"/>
      <c r="E31" s="66" t="s">
        <v>78</v>
      </c>
      <c r="F31" s="60"/>
    </row>
    <row r="32" ht="14" spans="1:6">
      <c r="A32" s="19"/>
      <c r="B32" s="71" t="s">
        <v>96</v>
      </c>
      <c r="C32" s="57" t="s">
        <v>81</v>
      </c>
      <c r="D32" s="56" t="s">
        <v>74</v>
      </c>
      <c r="E32" s="66"/>
      <c r="F32" s="60"/>
    </row>
    <row r="33" ht="14" spans="1:6">
      <c r="A33" s="19"/>
      <c r="B33" s="8"/>
      <c r="C33" s="57" t="s">
        <v>91</v>
      </c>
      <c r="D33" s="56" t="s">
        <v>74</v>
      </c>
      <c r="E33" s="66"/>
      <c r="F33" s="60"/>
    </row>
    <row r="34" ht="14" spans="1:6">
      <c r="A34" s="19"/>
      <c r="B34" s="8"/>
      <c r="C34" s="57" t="s">
        <v>92</v>
      </c>
      <c r="D34" s="56" t="s">
        <v>74</v>
      </c>
      <c r="E34" s="66"/>
      <c r="F34" s="60"/>
    </row>
    <row r="35" ht="14" spans="1:6">
      <c r="A35" s="19"/>
      <c r="B35" s="8"/>
      <c r="C35" s="57" t="s">
        <v>93</v>
      </c>
      <c r="D35" s="56" t="s">
        <v>74</v>
      </c>
      <c r="E35" s="66"/>
      <c r="F35" s="60"/>
    </row>
    <row r="36" ht="25" spans="1:6">
      <c r="A36" s="19"/>
      <c r="B36" s="8"/>
      <c r="C36" s="57" t="s">
        <v>97</v>
      </c>
      <c r="D36" s="56" t="s">
        <v>74</v>
      </c>
      <c r="E36" s="66" t="s">
        <v>78</v>
      </c>
      <c r="F36" s="60"/>
    </row>
    <row r="37" ht="25" spans="1:6">
      <c r="A37" s="19"/>
      <c r="B37" s="8"/>
      <c r="C37" s="57" t="s">
        <v>94</v>
      </c>
      <c r="D37" s="56"/>
      <c r="E37" s="66" t="s">
        <v>78</v>
      </c>
      <c r="F37" s="60"/>
    </row>
    <row r="38" ht="25" spans="1:6">
      <c r="A38" s="19"/>
      <c r="B38" s="10"/>
      <c r="C38" s="57" t="s">
        <v>95</v>
      </c>
      <c r="D38" s="56"/>
      <c r="E38" s="66" t="s">
        <v>78</v>
      </c>
      <c r="F38" s="60"/>
    </row>
    <row r="39" ht="14" spans="1:6">
      <c r="A39" s="19"/>
      <c r="B39" s="71" t="s">
        <v>98</v>
      </c>
      <c r="C39" s="57" t="s">
        <v>99</v>
      </c>
      <c r="D39" s="56"/>
      <c r="E39" s="65"/>
      <c r="F39" s="60"/>
    </row>
    <row r="40" ht="14" spans="1:6">
      <c r="A40" s="19"/>
      <c r="B40" s="10"/>
      <c r="C40" s="57" t="s">
        <v>100</v>
      </c>
      <c r="D40" s="56"/>
      <c r="E40" s="65"/>
      <c r="F40" s="60"/>
    </row>
    <row r="41" ht="14" spans="1:6">
      <c r="A41" s="19"/>
      <c r="B41" s="71" t="s">
        <v>101</v>
      </c>
      <c r="C41" s="57" t="s">
        <v>102</v>
      </c>
      <c r="D41" s="57"/>
      <c r="E41" s="65"/>
      <c r="F41" s="60"/>
    </row>
    <row r="42" ht="14" spans="1:6">
      <c r="A42" s="19"/>
      <c r="B42" s="10"/>
      <c r="C42" s="57" t="s">
        <v>103</v>
      </c>
      <c r="D42" s="57"/>
      <c r="E42" s="65"/>
      <c r="F42" s="60"/>
    </row>
    <row r="43" ht="14" spans="1:6">
      <c r="A43" s="19"/>
      <c r="B43" s="71" t="s">
        <v>104</v>
      </c>
      <c r="C43" s="57" t="s">
        <v>105</v>
      </c>
      <c r="D43" s="57"/>
      <c r="E43" s="65"/>
      <c r="F43" s="60"/>
    </row>
    <row r="44" ht="14" spans="1:6">
      <c r="A44" s="19"/>
      <c r="B44" s="10"/>
      <c r="C44" s="57" t="s">
        <v>106</v>
      </c>
      <c r="D44" s="57"/>
      <c r="E44" s="65"/>
      <c r="F44" s="60"/>
    </row>
    <row r="45" ht="14" spans="1:6">
      <c r="A45" s="19"/>
      <c r="B45" s="71" t="s">
        <v>107</v>
      </c>
      <c r="C45" s="57" t="s">
        <v>108</v>
      </c>
      <c r="D45" s="57"/>
      <c r="E45" s="65"/>
      <c r="F45" s="60"/>
    </row>
    <row r="46" ht="14" spans="1:6">
      <c r="A46" s="19"/>
      <c r="B46" s="10"/>
      <c r="C46" s="57" t="s">
        <v>109</v>
      </c>
      <c r="D46" s="57"/>
      <c r="E46" s="65"/>
      <c r="F46" s="60"/>
    </row>
    <row r="47" ht="14" spans="1:6">
      <c r="A47" s="19"/>
      <c r="B47" s="64" t="s">
        <v>110</v>
      </c>
      <c r="C47" s="57" t="s">
        <v>108</v>
      </c>
      <c r="D47" s="65"/>
      <c r="E47" s="65"/>
      <c r="F47" s="65"/>
    </row>
    <row r="48" ht="14" spans="1:6">
      <c r="A48" s="19"/>
      <c r="B48" s="20"/>
      <c r="C48" s="57" t="s">
        <v>109</v>
      </c>
      <c r="D48" s="65"/>
      <c r="E48" s="65"/>
      <c r="F48" s="65"/>
    </row>
    <row r="49" ht="12.5" spans="1:6">
      <c r="A49" s="19"/>
      <c r="B49" s="64" t="s">
        <v>111</v>
      </c>
      <c r="C49" s="62" t="s">
        <v>112</v>
      </c>
      <c r="D49" s="65"/>
      <c r="E49" s="65"/>
      <c r="F49" s="65"/>
    </row>
    <row r="50" ht="12.5" spans="1:6">
      <c r="A50" s="19"/>
      <c r="B50" s="20"/>
      <c r="C50" s="62" t="s">
        <v>113</v>
      </c>
      <c r="D50" s="65"/>
      <c r="E50" s="65"/>
      <c r="F50" s="65"/>
    </row>
    <row r="51" ht="12.5" spans="1:6">
      <c r="A51" s="19"/>
      <c r="B51" s="62" t="s">
        <v>114</v>
      </c>
      <c r="C51" s="65"/>
      <c r="D51" s="65"/>
      <c r="E51" s="65"/>
      <c r="F51" s="65"/>
    </row>
    <row r="52" ht="12.5" spans="1:6">
      <c r="A52" s="19"/>
      <c r="B52" s="62" t="s">
        <v>115</v>
      </c>
      <c r="C52" s="65"/>
      <c r="D52" s="65"/>
      <c r="E52" s="65"/>
      <c r="F52" s="65"/>
    </row>
    <row r="53" ht="12.5" spans="1:6">
      <c r="A53" s="19"/>
      <c r="B53" s="62" t="s">
        <v>116</v>
      </c>
      <c r="C53" s="66" t="s">
        <v>117</v>
      </c>
      <c r="D53" s="65"/>
      <c r="E53" s="65"/>
      <c r="F53" s="65"/>
    </row>
    <row r="54" ht="25" spans="1:6">
      <c r="A54" s="19"/>
      <c r="B54" s="62" t="s">
        <v>118</v>
      </c>
      <c r="C54" s="66" t="s">
        <v>119</v>
      </c>
      <c r="D54" s="65"/>
      <c r="E54" s="65"/>
      <c r="F54" s="65"/>
    </row>
    <row r="55" ht="25" spans="1:6">
      <c r="A55" s="19"/>
      <c r="B55" s="62" t="s">
        <v>120</v>
      </c>
      <c r="C55" s="66" t="s">
        <v>119</v>
      </c>
      <c r="D55" s="65"/>
      <c r="E55" s="65"/>
      <c r="F55" s="65"/>
    </row>
    <row r="56" ht="12.5" spans="1:6">
      <c r="A56" s="19"/>
      <c r="B56" s="62" t="s">
        <v>121</v>
      </c>
      <c r="C56" s="66" t="s">
        <v>122</v>
      </c>
      <c r="D56" s="65"/>
      <c r="E56" s="65"/>
      <c r="F56" s="65"/>
    </row>
    <row r="57" ht="13" spans="1:6">
      <c r="A57" s="19"/>
      <c r="B57" s="35" t="s">
        <v>123</v>
      </c>
      <c r="C57" s="72"/>
      <c r="D57" s="72"/>
      <c r="E57" s="72"/>
      <c r="F57" s="72"/>
    </row>
    <row r="58" ht="12.5" spans="1:6">
      <c r="A58" s="19"/>
      <c r="B58" s="62" t="s">
        <v>124</v>
      </c>
      <c r="C58" s="65"/>
      <c r="D58" s="65"/>
      <c r="E58" s="65"/>
      <c r="F58" s="65"/>
    </row>
    <row r="59" ht="12.5" spans="1:6">
      <c r="A59" s="20"/>
      <c r="B59" s="62" t="s">
        <v>125</v>
      </c>
      <c r="C59" s="65"/>
      <c r="D59" s="65"/>
      <c r="E59" s="65"/>
      <c r="F59" s="65"/>
    </row>
    <row r="60" ht="12.5" spans="1:6">
      <c r="A60" s="64" t="s">
        <v>126</v>
      </c>
      <c r="B60" s="64" t="s">
        <v>90</v>
      </c>
      <c r="C60" s="62" t="s">
        <v>79</v>
      </c>
      <c r="D60" s="65"/>
      <c r="E60" s="65"/>
      <c r="F60" s="65"/>
    </row>
    <row r="61" ht="12.5" spans="1:6">
      <c r="A61" s="19"/>
      <c r="B61" s="19"/>
      <c r="C61" s="62" t="s">
        <v>127</v>
      </c>
      <c r="D61" s="65"/>
      <c r="E61" s="65"/>
      <c r="F61" s="65"/>
    </row>
    <row r="62" ht="12.5" spans="1:6">
      <c r="A62" s="19"/>
      <c r="B62" s="19"/>
      <c r="C62" s="62" t="s">
        <v>128</v>
      </c>
      <c r="D62" s="65"/>
      <c r="E62" s="65"/>
      <c r="F62" s="65"/>
    </row>
    <row r="63" ht="25" spans="1:6">
      <c r="A63" s="19"/>
      <c r="B63" s="19"/>
      <c r="C63" s="62" t="s">
        <v>94</v>
      </c>
      <c r="D63" s="65"/>
      <c r="E63" s="66" t="s">
        <v>78</v>
      </c>
      <c r="F63" s="65"/>
    </row>
    <row r="64" ht="12.5" spans="1:6">
      <c r="A64" s="19"/>
      <c r="B64" s="20"/>
      <c r="C64" s="62" t="s">
        <v>129</v>
      </c>
      <c r="D64" s="65"/>
      <c r="E64" s="65"/>
      <c r="F64" s="65"/>
    </row>
    <row r="65" ht="12.5" spans="1:6">
      <c r="A65" s="19"/>
      <c r="B65" s="64" t="s">
        <v>96</v>
      </c>
      <c r="C65" s="62" t="s">
        <v>79</v>
      </c>
      <c r="D65" s="65"/>
      <c r="E65" s="65"/>
      <c r="F65" s="65"/>
    </row>
    <row r="66" ht="12.5" spans="1:6">
      <c r="A66" s="19"/>
      <c r="B66" s="19"/>
      <c r="C66" s="62" t="s">
        <v>127</v>
      </c>
      <c r="D66" s="65"/>
      <c r="E66" s="65"/>
      <c r="F66" s="65"/>
    </row>
    <row r="67" ht="12.5" spans="1:6">
      <c r="A67" s="19"/>
      <c r="B67" s="19"/>
      <c r="C67" s="62" t="s">
        <v>128</v>
      </c>
      <c r="D67" s="65"/>
      <c r="E67" s="65"/>
      <c r="F67" s="65"/>
    </row>
    <row r="68" ht="25" spans="1:6">
      <c r="A68" s="19"/>
      <c r="B68" s="19"/>
      <c r="C68" s="57" t="s">
        <v>130</v>
      </c>
      <c r="D68" s="65"/>
      <c r="E68" s="66" t="s">
        <v>78</v>
      </c>
      <c r="F68" s="65"/>
    </row>
    <row r="69" ht="25" spans="1:6">
      <c r="A69" s="19"/>
      <c r="B69" s="19"/>
      <c r="C69" s="62" t="s">
        <v>94</v>
      </c>
      <c r="D69" s="65"/>
      <c r="E69" s="66" t="s">
        <v>78</v>
      </c>
      <c r="F69" s="65"/>
    </row>
    <row r="70" ht="12.5" spans="1:6">
      <c r="A70" s="20"/>
      <c r="B70" s="20"/>
      <c r="C70" s="62" t="s">
        <v>129</v>
      </c>
      <c r="D70" s="65"/>
      <c r="E70" s="65"/>
      <c r="F70" s="65"/>
    </row>
    <row r="71" ht="12.5" spans="1:6">
      <c r="A71" s="73"/>
      <c r="B71" s="73"/>
      <c r="C71" s="73"/>
      <c r="D71" s="73"/>
      <c r="E71" s="73"/>
      <c r="F71" s="73"/>
    </row>
    <row r="72" ht="12.5"/>
    <row r="73" ht="12.5"/>
    <row r="74" ht="12.5"/>
    <row r="75" ht="12.5"/>
    <row r="76" ht="12.5"/>
    <row r="77" ht="12.5"/>
  </sheetData>
  <mergeCells count="16">
    <mergeCell ref="A3:A13"/>
    <mergeCell ref="A23:A59"/>
    <mergeCell ref="A60:A70"/>
    <mergeCell ref="B4:B6"/>
    <mergeCell ref="B7:B9"/>
    <mergeCell ref="B10:B13"/>
    <mergeCell ref="B25:B31"/>
    <mergeCell ref="B32:B38"/>
    <mergeCell ref="B39:B40"/>
    <mergeCell ref="B41:B42"/>
    <mergeCell ref="B43:B44"/>
    <mergeCell ref="B45:B46"/>
    <mergeCell ref="B47:B48"/>
    <mergeCell ref="B49:B50"/>
    <mergeCell ref="B60:B64"/>
    <mergeCell ref="B65:B70"/>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outlinePr summaryBelow="0" summaryRight="0"/>
  </sheetPr>
  <dimension ref="A1:AB1007"/>
  <sheetViews>
    <sheetView tabSelected="1" topLeftCell="A16" workbookViewId="0">
      <selection activeCell="D14" sqref="D14:D17"/>
    </sheetView>
  </sheetViews>
  <sheetFormatPr defaultColWidth="12.6272727272727" defaultRowHeight="15" customHeight="1"/>
  <cols>
    <col min="2" max="2" width="27.8818181818182" customWidth="1"/>
    <col min="3" max="3" width="31" customWidth="1"/>
    <col min="4" max="4" width="29.1272727272727" customWidth="1"/>
    <col min="5" max="5" width="33.2545454545455" customWidth="1"/>
    <col min="6" max="6" width="34.2545454545455" customWidth="1"/>
    <col min="7" max="7" width="38.3818181818182" customWidth="1"/>
    <col min="8" max="8" width="15.1272727272727" customWidth="1"/>
  </cols>
  <sheetData>
    <row r="1" ht="13.5" customHeight="1" spans="1:28">
      <c r="A1" s="1" t="s">
        <v>131</v>
      </c>
      <c r="B1" s="2"/>
      <c r="C1" s="3"/>
      <c r="D1" s="4" t="s">
        <v>132</v>
      </c>
      <c r="E1" s="4">
        <v>46</v>
      </c>
      <c r="F1" s="5"/>
      <c r="G1" s="6"/>
      <c r="H1" s="2"/>
      <c r="I1" s="26"/>
      <c r="J1" s="49"/>
      <c r="K1" s="49"/>
      <c r="L1" s="49"/>
      <c r="M1" s="49"/>
      <c r="N1" s="49"/>
      <c r="O1" s="49"/>
      <c r="P1" s="49"/>
      <c r="Q1" s="49"/>
      <c r="R1" s="49"/>
      <c r="S1" s="49"/>
      <c r="T1" s="49"/>
      <c r="U1" s="49"/>
      <c r="V1" s="49"/>
      <c r="W1" s="49"/>
      <c r="X1" s="49"/>
      <c r="Y1" s="49"/>
      <c r="Z1" s="49"/>
      <c r="AA1" s="49"/>
      <c r="AB1" s="49"/>
    </row>
    <row r="2" ht="16.5" spans="1:28">
      <c r="A2" s="7"/>
      <c r="B2" s="8"/>
      <c r="C2" s="3"/>
      <c r="D2" s="4" t="s">
        <v>133</v>
      </c>
      <c r="E2" s="4">
        <v>25</v>
      </c>
      <c r="F2" s="7"/>
      <c r="H2" s="8"/>
      <c r="I2" s="19"/>
      <c r="J2" s="49"/>
      <c r="K2" s="49"/>
      <c r="L2" s="49"/>
      <c r="M2" s="49"/>
      <c r="N2" s="49"/>
      <c r="O2" s="49"/>
      <c r="P2" s="49"/>
      <c r="Q2" s="49"/>
      <c r="R2" s="49"/>
      <c r="S2" s="49"/>
      <c r="T2" s="49"/>
      <c r="U2" s="49"/>
      <c r="V2" s="49"/>
      <c r="W2" s="49"/>
      <c r="X2" s="49"/>
      <c r="Y2" s="49"/>
      <c r="Z2" s="49"/>
      <c r="AA2" s="49"/>
      <c r="AB2" s="49"/>
    </row>
    <row r="3" ht="16.5" spans="1:28">
      <c r="A3" s="7"/>
      <c r="B3" s="8"/>
      <c r="C3" s="3"/>
      <c r="D3" s="4" t="s">
        <v>134</v>
      </c>
      <c r="E3" s="4">
        <v>21</v>
      </c>
      <c r="F3" s="7"/>
      <c r="H3" s="8"/>
      <c r="I3" s="19"/>
      <c r="J3" s="49"/>
      <c r="K3" s="49"/>
      <c r="L3" s="49"/>
      <c r="M3" s="49"/>
      <c r="N3" s="49"/>
      <c r="O3" s="49"/>
      <c r="P3" s="49"/>
      <c r="Q3" s="49"/>
      <c r="R3" s="49"/>
      <c r="S3" s="49"/>
      <c r="T3" s="49"/>
      <c r="U3" s="49"/>
      <c r="V3" s="49"/>
      <c r="W3" s="49"/>
      <c r="X3" s="49"/>
      <c r="Y3" s="49"/>
      <c r="Z3" s="49"/>
      <c r="AA3" s="49"/>
      <c r="AB3" s="49"/>
    </row>
    <row r="4" ht="16.5" spans="1:28">
      <c r="A4" s="7"/>
      <c r="B4" s="8"/>
      <c r="C4" s="3"/>
      <c r="D4" s="4" t="s">
        <v>135</v>
      </c>
      <c r="E4" s="4">
        <v>0</v>
      </c>
      <c r="F4" s="7"/>
      <c r="H4" s="8"/>
      <c r="I4" s="19"/>
      <c r="J4" s="49"/>
      <c r="K4" s="49"/>
      <c r="L4" s="49"/>
      <c r="M4" s="49"/>
      <c r="N4" s="49"/>
      <c r="O4" s="49"/>
      <c r="P4" s="49"/>
      <c r="Q4" s="49"/>
      <c r="R4" s="49"/>
      <c r="S4" s="49"/>
      <c r="T4" s="49"/>
      <c r="U4" s="49"/>
      <c r="V4" s="49"/>
      <c r="W4" s="49"/>
      <c r="X4" s="49"/>
      <c r="Y4" s="49"/>
      <c r="Z4" s="49"/>
      <c r="AA4" s="49"/>
      <c r="AB4" s="49"/>
    </row>
    <row r="5" ht="16.5" spans="1:28">
      <c r="A5" s="9"/>
      <c r="B5" s="10"/>
      <c r="C5" s="3"/>
      <c r="D5" s="4" t="s">
        <v>136</v>
      </c>
      <c r="E5" s="4">
        <v>0</v>
      </c>
      <c r="F5" s="9"/>
      <c r="G5" s="11"/>
      <c r="H5" s="10"/>
      <c r="I5" s="20"/>
      <c r="J5" s="49"/>
      <c r="K5" s="49"/>
      <c r="L5" s="49"/>
      <c r="M5" s="49"/>
      <c r="N5" s="49"/>
      <c r="O5" s="49"/>
      <c r="P5" s="49"/>
      <c r="Q5" s="49"/>
      <c r="R5" s="49"/>
      <c r="S5" s="49"/>
      <c r="T5" s="49"/>
      <c r="U5" s="49"/>
      <c r="V5" s="49"/>
      <c r="W5" s="49"/>
      <c r="X5" s="49"/>
      <c r="Y5" s="49"/>
      <c r="Z5" s="49"/>
      <c r="AA5" s="49"/>
      <c r="AB5" s="49"/>
    </row>
    <row r="6" ht="16.5" spans="1:28">
      <c r="A6" s="12" t="s">
        <v>137</v>
      </c>
      <c r="B6" s="12" t="s">
        <v>138</v>
      </c>
      <c r="C6" s="12"/>
      <c r="D6" s="12" t="s">
        <v>139</v>
      </c>
      <c r="E6" s="12" t="s">
        <v>140</v>
      </c>
      <c r="F6" s="12" t="s">
        <v>141</v>
      </c>
      <c r="G6" s="12" t="s">
        <v>142</v>
      </c>
      <c r="H6" s="12" t="s">
        <v>143</v>
      </c>
      <c r="I6" s="12" t="s">
        <v>144</v>
      </c>
      <c r="J6" s="49"/>
      <c r="K6" s="49"/>
      <c r="L6" s="49"/>
      <c r="M6" s="49"/>
      <c r="N6" s="49"/>
      <c r="O6" s="49"/>
      <c r="P6" s="49"/>
      <c r="Q6" s="49"/>
      <c r="R6" s="49"/>
      <c r="S6" s="49"/>
      <c r="T6" s="49"/>
      <c r="U6" s="49"/>
      <c r="V6" s="49"/>
      <c r="W6" s="49"/>
      <c r="X6" s="49"/>
      <c r="Y6" s="49"/>
      <c r="Z6" s="49"/>
      <c r="AA6" s="49"/>
      <c r="AB6" s="49"/>
    </row>
    <row r="7" ht="16.5" spans="1:28">
      <c r="A7" s="13" t="s">
        <v>145</v>
      </c>
      <c r="B7" s="14"/>
      <c r="C7" s="14"/>
      <c r="D7" s="14"/>
      <c r="E7" s="14"/>
      <c r="F7" s="14"/>
      <c r="G7" s="14"/>
      <c r="H7" s="14"/>
      <c r="I7" s="22"/>
      <c r="J7" s="49"/>
      <c r="K7" s="49"/>
      <c r="L7" s="49"/>
      <c r="M7" s="49"/>
      <c r="N7" s="49"/>
      <c r="O7" s="49"/>
      <c r="P7" s="49"/>
      <c r="Q7" s="49"/>
      <c r="R7" s="49"/>
      <c r="S7" s="49"/>
      <c r="T7" s="49"/>
      <c r="U7" s="49"/>
      <c r="V7" s="49"/>
      <c r="W7" s="49"/>
      <c r="X7" s="49"/>
      <c r="Y7" s="49"/>
      <c r="Z7" s="49"/>
      <c r="AA7" s="49"/>
      <c r="AB7" s="49"/>
    </row>
    <row r="8" ht="25" spans="1:28">
      <c r="A8" s="43" t="s">
        <v>146</v>
      </c>
      <c r="B8" s="44" t="s">
        <v>147</v>
      </c>
      <c r="C8" s="43" t="s">
        <v>148</v>
      </c>
      <c r="D8" s="45" t="s">
        <v>149</v>
      </c>
      <c r="E8" s="46" t="s">
        <v>150</v>
      </c>
      <c r="F8" s="46" t="s">
        <v>151</v>
      </c>
      <c r="G8" s="46"/>
      <c r="H8" s="18" t="s">
        <v>133</v>
      </c>
      <c r="I8" s="15"/>
      <c r="J8" s="49"/>
      <c r="K8" s="49"/>
      <c r="L8" s="49"/>
      <c r="M8" s="49"/>
      <c r="N8" s="49"/>
      <c r="O8" s="49"/>
      <c r="P8" s="49"/>
      <c r="Q8" s="49"/>
      <c r="R8" s="49"/>
      <c r="S8" s="49"/>
      <c r="T8" s="49"/>
      <c r="U8" s="49"/>
      <c r="V8" s="49"/>
      <c r="W8" s="49"/>
      <c r="X8" s="49"/>
      <c r="Y8" s="49"/>
      <c r="Z8" s="49"/>
      <c r="AA8" s="49"/>
      <c r="AB8" s="49"/>
    </row>
    <row r="9" ht="50" spans="1:28">
      <c r="A9" s="43" t="s">
        <v>152</v>
      </c>
      <c r="B9" s="19"/>
      <c r="C9" s="43" t="s">
        <v>153</v>
      </c>
      <c r="D9" s="19"/>
      <c r="E9" s="46" t="s">
        <v>154</v>
      </c>
      <c r="F9" s="46" t="s">
        <v>155</v>
      </c>
      <c r="G9" s="46"/>
      <c r="H9" s="18" t="s">
        <v>133</v>
      </c>
      <c r="I9" s="15"/>
      <c r="J9" s="49"/>
      <c r="K9" s="49"/>
      <c r="L9" s="49"/>
      <c r="M9" s="49"/>
      <c r="N9" s="49"/>
      <c r="O9" s="49"/>
      <c r="P9" s="49"/>
      <c r="Q9" s="49"/>
      <c r="R9" s="49"/>
      <c r="S9" s="49"/>
      <c r="T9" s="49"/>
      <c r="U9" s="49"/>
      <c r="V9" s="49"/>
      <c r="W9" s="49"/>
      <c r="X9" s="49"/>
      <c r="Y9" s="49"/>
      <c r="Z9" s="49"/>
      <c r="AA9" s="49"/>
      <c r="AB9" s="49"/>
    </row>
    <row r="10" ht="37.5" spans="1:28">
      <c r="A10" s="43" t="s">
        <v>156</v>
      </c>
      <c r="B10" s="19"/>
      <c r="C10" s="43" t="s">
        <v>80</v>
      </c>
      <c r="D10" s="19"/>
      <c r="E10" s="46" t="s">
        <v>157</v>
      </c>
      <c r="F10" s="46" t="s">
        <v>158</v>
      </c>
      <c r="G10" s="46"/>
      <c r="H10" s="18" t="s">
        <v>133</v>
      </c>
      <c r="I10" s="15"/>
      <c r="J10" s="49"/>
      <c r="K10" s="49"/>
      <c r="L10" s="49"/>
      <c r="M10" s="49"/>
      <c r="N10" s="49"/>
      <c r="O10" s="49"/>
      <c r="P10" s="49"/>
      <c r="Q10" s="49"/>
      <c r="R10" s="49"/>
      <c r="S10" s="49"/>
      <c r="T10" s="49"/>
      <c r="U10" s="49"/>
      <c r="V10" s="49"/>
      <c r="W10" s="49"/>
      <c r="X10" s="49"/>
      <c r="Y10" s="49"/>
      <c r="Z10" s="49"/>
      <c r="AA10" s="49"/>
      <c r="AB10" s="49"/>
    </row>
    <row r="11" ht="50" spans="1:28">
      <c r="A11" s="43" t="s">
        <v>159</v>
      </c>
      <c r="B11" s="19"/>
      <c r="C11" s="43" t="s">
        <v>83</v>
      </c>
      <c r="D11" s="19"/>
      <c r="E11" s="46" t="s">
        <v>160</v>
      </c>
      <c r="F11" s="46" t="s">
        <v>161</v>
      </c>
      <c r="G11" s="46"/>
      <c r="H11" s="18" t="s">
        <v>133</v>
      </c>
      <c r="I11" s="15"/>
      <c r="J11" s="49"/>
      <c r="K11" s="49"/>
      <c r="L11" s="49"/>
      <c r="M11" s="49"/>
      <c r="N11" s="49"/>
      <c r="O11" s="49"/>
      <c r="P11" s="49"/>
      <c r="Q11" s="49"/>
      <c r="R11" s="49"/>
      <c r="S11" s="49"/>
      <c r="T11" s="49"/>
      <c r="U11" s="49"/>
      <c r="V11" s="49"/>
      <c r="W11" s="49"/>
      <c r="X11" s="49"/>
      <c r="Y11" s="49"/>
      <c r="Z11" s="49"/>
      <c r="AA11" s="49"/>
      <c r="AB11" s="49"/>
    </row>
    <row r="12" ht="37.5" spans="1:28">
      <c r="A12" s="43" t="s">
        <v>162</v>
      </c>
      <c r="B12" s="20"/>
      <c r="C12" s="15" t="s">
        <v>163</v>
      </c>
      <c r="D12" s="20"/>
      <c r="E12" s="46" t="s">
        <v>164</v>
      </c>
      <c r="F12" s="15" t="s">
        <v>165</v>
      </c>
      <c r="G12" s="15"/>
      <c r="H12" s="18" t="s">
        <v>133</v>
      </c>
      <c r="I12" s="15"/>
      <c r="J12" s="49"/>
      <c r="K12" s="49"/>
      <c r="L12" s="49"/>
      <c r="M12" s="49"/>
      <c r="N12" s="49"/>
      <c r="O12" s="49"/>
      <c r="P12" s="49"/>
      <c r="Q12" s="49"/>
      <c r="R12" s="49"/>
      <c r="S12" s="49"/>
      <c r="T12" s="49"/>
      <c r="U12" s="49"/>
      <c r="V12" s="49"/>
      <c r="W12" s="49"/>
      <c r="X12" s="49"/>
      <c r="Y12" s="49"/>
      <c r="Z12" s="49"/>
      <c r="AA12" s="49"/>
      <c r="AB12" s="49"/>
    </row>
    <row r="13" ht="37.5" spans="1:28">
      <c r="A13" s="43" t="s">
        <v>166</v>
      </c>
      <c r="B13" s="43" t="s">
        <v>167</v>
      </c>
      <c r="C13" s="15" t="s">
        <v>168</v>
      </c>
      <c r="D13" s="43" t="s">
        <v>169</v>
      </c>
      <c r="E13" s="46" t="s">
        <v>170</v>
      </c>
      <c r="F13" s="15" t="s">
        <v>171</v>
      </c>
      <c r="G13" s="15"/>
      <c r="H13" s="18" t="s">
        <v>133</v>
      </c>
      <c r="I13" s="15"/>
      <c r="J13" s="49"/>
      <c r="K13" s="49"/>
      <c r="L13" s="49"/>
      <c r="M13" s="49"/>
      <c r="N13" s="49"/>
      <c r="O13" s="49"/>
      <c r="P13" s="49"/>
      <c r="Q13" s="49"/>
      <c r="R13" s="49"/>
      <c r="S13" s="49"/>
      <c r="T13" s="49"/>
      <c r="U13" s="49"/>
      <c r="V13" s="49"/>
      <c r="W13" s="49"/>
      <c r="X13" s="49"/>
      <c r="Y13" s="49"/>
      <c r="Z13" s="49"/>
      <c r="AA13" s="49"/>
      <c r="AB13" s="49"/>
    </row>
    <row r="14" ht="25" spans="1:28">
      <c r="A14" s="43" t="s">
        <v>172</v>
      </c>
      <c r="B14" s="44" t="s">
        <v>173</v>
      </c>
      <c r="C14" s="15" t="s">
        <v>174</v>
      </c>
      <c r="D14" s="44" t="s">
        <v>169</v>
      </c>
      <c r="E14" s="46" t="s">
        <v>175</v>
      </c>
      <c r="F14" s="15" t="s">
        <v>176</v>
      </c>
      <c r="G14" s="15"/>
      <c r="H14" s="18" t="s">
        <v>133</v>
      </c>
      <c r="I14" s="15"/>
      <c r="J14" s="49"/>
      <c r="K14" s="49"/>
      <c r="L14" s="49"/>
      <c r="M14" s="49"/>
      <c r="N14" s="49"/>
      <c r="O14" s="49"/>
      <c r="P14" s="49"/>
      <c r="Q14" s="49"/>
      <c r="R14" s="49"/>
      <c r="S14" s="49"/>
      <c r="T14" s="49"/>
      <c r="U14" s="49"/>
      <c r="V14" s="49"/>
      <c r="W14" s="49"/>
      <c r="X14" s="49"/>
      <c r="Y14" s="49"/>
      <c r="Z14" s="49"/>
      <c r="AA14" s="49"/>
      <c r="AB14" s="49"/>
    </row>
    <row r="15" ht="62.5" spans="1:28">
      <c r="A15" s="43" t="s">
        <v>177</v>
      </c>
      <c r="B15" s="19"/>
      <c r="C15" s="15" t="s">
        <v>178</v>
      </c>
      <c r="D15" s="19"/>
      <c r="E15" s="46" t="s">
        <v>175</v>
      </c>
      <c r="F15" s="15" t="s">
        <v>179</v>
      </c>
      <c r="G15" s="15"/>
      <c r="H15" s="18" t="s">
        <v>133</v>
      </c>
      <c r="I15" s="15"/>
      <c r="J15" s="49"/>
      <c r="K15" s="49"/>
      <c r="L15" s="49"/>
      <c r="M15" s="49"/>
      <c r="N15" s="49"/>
      <c r="O15" s="49"/>
      <c r="P15" s="49"/>
      <c r="Q15" s="49"/>
      <c r="R15" s="49"/>
      <c r="S15" s="49"/>
      <c r="T15" s="49"/>
      <c r="U15" s="49"/>
      <c r="V15" s="49"/>
      <c r="W15" s="49"/>
      <c r="X15" s="49"/>
      <c r="Y15" s="49"/>
      <c r="Z15" s="49"/>
      <c r="AA15" s="49"/>
      <c r="AB15" s="49"/>
    </row>
    <row r="16" ht="87.5" spans="1:28">
      <c r="A16" s="43" t="s">
        <v>180</v>
      </c>
      <c r="B16" s="19"/>
      <c r="C16" s="15" t="s">
        <v>181</v>
      </c>
      <c r="D16" s="19"/>
      <c r="E16" s="46" t="s">
        <v>175</v>
      </c>
      <c r="F16" s="15" t="s">
        <v>182</v>
      </c>
      <c r="G16" s="15"/>
      <c r="H16" s="18" t="s">
        <v>133</v>
      </c>
      <c r="I16" s="15"/>
      <c r="J16" s="49"/>
      <c r="K16" s="49"/>
      <c r="L16" s="49"/>
      <c r="M16" s="49"/>
      <c r="N16" s="49"/>
      <c r="O16" s="49"/>
      <c r="P16" s="49"/>
      <c r="Q16" s="49"/>
      <c r="R16" s="49"/>
      <c r="S16" s="49"/>
      <c r="T16" s="49"/>
      <c r="U16" s="49"/>
      <c r="V16" s="49"/>
      <c r="W16" s="49"/>
      <c r="X16" s="49"/>
      <c r="Y16" s="49"/>
      <c r="Z16" s="49"/>
      <c r="AA16" s="49"/>
      <c r="AB16" s="49"/>
    </row>
    <row r="17" ht="87.5" spans="1:28">
      <c r="A17" s="43" t="s">
        <v>183</v>
      </c>
      <c r="B17" s="20"/>
      <c r="C17" s="15" t="s">
        <v>184</v>
      </c>
      <c r="D17" s="20"/>
      <c r="E17" s="46" t="s">
        <v>175</v>
      </c>
      <c r="F17" s="15" t="s">
        <v>185</v>
      </c>
      <c r="G17" s="15"/>
      <c r="H17" s="18" t="s">
        <v>133</v>
      </c>
      <c r="I17" s="15"/>
      <c r="J17" s="49"/>
      <c r="K17" s="49"/>
      <c r="L17" s="49"/>
      <c r="M17" s="49"/>
      <c r="N17" s="49"/>
      <c r="O17" s="49"/>
      <c r="P17" s="49"/>
      <c r="Q17" s="49"/>
      <c r="R17" s="49"/>
      <c r="S17" s="49"/>
      <c r="T17" s="49"/>
      <c r="U17" s="49"/>
      <c r="V17" s="49"/>
      <c r="W17" s="49"/>
      <c r="X17" s="49"/>
      <c r="Y17" s="49"/>
      <c r="Z17" s="49"/>
      <c r="AA17" s="49"/>
      <c r="AB17" s="49"/>
    </row>
    <row r="18" ht="37.5" spans="1:28">
      <c r="A18" s="43" t="s">
        <v>186</v>
      </c>
      <c r="B18" s="47" t="s">
        <v>187</v>
      </c>
      <c r="C18" s="22"/>
      <c r="D18" s="43"/>
      <c r="E18" s="46" t="s">
        <v>188</v>
      </c>
      <c r="F18" s="15" t="s">
        <v>189</v>
      </c>
      <c r="G18" s="15" t="s">
        <v>190</v>
      </c>
      <c r="H18" s="18" t="s">
        <v>134</v>
      </c>
      <c r="I18" s="50" t="s">
        <v>191</v>
      </c>
      <c r="J18" s="49"/>
      <c r="K18" s="49"/>
      <c r="L18" s="49"/>
      <c r="M18" s="49"/>
      <c r="N18" s="49"/>
      <c r="O18" s="49"/>
      <c r="P18" s="49"/>
      <c r="Q18" s="49"/>
      <c r="R18" s="49"/>
      <c r="S18" s="49"/>
      <c r="T18" s="49"/>
      <c r="U18" s="49"/>
      <c r="V18" s="49"/>
      <c r="W18" s="49"/>
      <c r="X18" s="49"/>
      <c r="Y18" s="49"/>
      <c r="Z18" s="49"/>
      <c r="AA18" s="49"/>
      <c r="AB18" s="49"/>
    </row>
    <row r="19" ht="16.5" spans="1:28">
      <c r="A19" s="13" t="s">
        <v>192</v>
      </c>
      <c r="B19" s="14"/>
      <c r="C19" s="14"/>
      <c r="D19" s="14"/>
      <c r="E19" s="14"/>
      <c r="F19" s="14"/>
      <c r="G19" s="14"/>
      <c r="H19" s="14"/>
      <c r="I19" s="22"/>
      <c r="J19" s="49"/>
      <c r="K19" s="49"/>
      <c r="L19" s="49"/>
      <c r="M19" s="49"/>
      <c r="N19" s="49"/>
      <c r="O19" s="49"/>
      <c r="P19" s="49"/>
      <c r="Q19" s="49"/>
      <c r="R19" s="49"/>
      <c r="S19" s="49"/>
      <c r="T19" s="49"/>
      <c r="U19" s="49"/>
      <c r="V19" s="49"/>
      <c r="W19" s="49"/>
      <c r="X19" s="49"/>
      <c r="Y19" s="49"/>
      <c r="Z19" s="49"/>
      <c r="AA19" s="49"/>
      <c r="AB19" s="49"/>
    </row>
    <row r="20" ht="87.5" spans="1:28">
      <c r="A20" s="15" t="s">
        <v>193</v>
      </c>
      <c r="B20" s="16" t="s">
        <v>194</v>
      </c>
      <c r="C20" s="15" t="s">
        <v>195</v>
      </c>
      <c r="D20" s="16" t="s">
        <v>196</v>
      </c>
      <c r="E20" s="15" t="s">
        <v>197</v>
      </c>
      <c r="F20" s="16" t="s">
        <v>198</v>
      </c>
      <c r="G20" s="16"/>
      <c r="H20" s="18" t="s">
        <v>133</v>
      </c>
      <c r="I20" s="15"/>
      <c r="J20" s="49"/>
      <c r="K20" s="49"/>
      <c r="L20" s="49"/>
      <c r="M20" s="49"/>
      <c r="N20" s="49"/>
      <c r="O20" s="49"/>
      <c r="P20" s="49"/>
      <c r="Q20" s="49"/>
      <c r="R20" s="49"/>
      <c r="S20" s="49"/>
      <c r="T20" s="49"/>
      <c r="U20" s="49"/>
      <c r="V20" s="49"/>
      <c r="W20" s="49"/>
      <c r="X20" s="49"/>
      <c r="Y20" s="49"/>
      <c r="Z20" s="49"/>
      <c r="AA20" s="49"/>
      <c r="AB20" s="49"/>
    </row>
    <row r="21" ht="87.5" spans="1:28">
      <c r="A21" s="15" t="s">
        <v>199</v>
      </c>
      <c r="B21" s="19"/>
      <c r="C21" s="15" t="s">
        <v>200</v>
      </c>
      <c r="D21" s="19"/>
      <c r="E21" s="15" t="s">
        <v>201</v>
      </c>
      <c r="F21" s="19"/>
      <c r="G21" s="19"/>
      <c r="H21" s="18" t="s">
        <v>133</v>
      </c>
      <c r="I21" s="15"/>
      <c r="J21" s="49"/>
      <c r="K21" s="49"/>
      <c r="L21" s="49"/>
      <c r="M21" s="49"/>
      <c r="N21" s="49"/>
      <c r="O21" s="49"/>
      <c r="P21" s="49"/>
      <c r="Q21" s="49"/>
      <c r="R21" s="49"/>
      <c r="S21" s="49"/>
      <c r="T21" s="49"/>
      <c r="U21" s="49"/>
      <c r="V21" s="49"/>
      <c r="W21" s="49"/>
      <c r="X21" s="49"/>
      <c r="Y21" s="49"/>
      <c r="Z21" s="49"/>
      <c r="AA21" s="49"/>
      <c r="AB21" s="49"/>
    </row>
    <row r="22" ht="87.5" spans="1:28">
      <c r="A22" s="15" t="s">
        <v>202</v>
      </c>
      <c r="B22" s="19"/>
      <c r="C22" s="15" t="s">
        <v>203</v>
      </c>
      <c r="D22" s="19"/>
      <c r="E22" s="15" t="s">
        <v>204</v>
      </c>
      <c r="F22" s="19"/>
      <c r="G22" s="19"/>
      <c r="H22" s="18" t="s">
        <v>133</v>
      </c>
      <c r="I22" s="15"/>
      <c r="J22" s="49"/>
      <c r="K22" s="49"/>
      <c r="L22" s="49"/>
      <c r="M22" s="49"/>
      <c r="N22" s="49"/>
      <c r="O22" s="49"/>
      <c r="P22" s="49"/>
      <c r="Q22" s="49"/>
      <c r="R22" s="49"/>
      <c r="S22" s="49"/>
      <c r="T22" s="49"/>
      <c r="U22" s="49"/>
      <c r="V22" s="49"/>
      <c r="W22" s="49"/>
      <c r="X22" s="49"/>
      <c r="Y22" s="49"/>
      <c r="Z22" s="49"/>
      <c r="AA22" s="49"/>
      <c r="AB22" s="49"/>
    </row>
    <row r="23" ht="87.5" spans="1:28">
      <c r="A23" s="15" t="s">
        <v>205</v>
      </c>
      <c r="B23" s="19"/>
      <c r="C23" s="15" t="s">
        <v>206</v>
      </c>
      <c r="D23" s="19"/>
      <c r="E23" s="15" t="s">
        <v>207</v>
      </c>
      <c r="F23" s="19"/>
      <c r="G23" s="19"/>
      <c r="H23" s="18" t="s">
        <v>133</v>
      </c>
      <c r="I23" s="15"/>
      <c r="J23" s="49"/>
      <c r="K23" s="49"/>
      <c r="L23" s="49"/>
      <c r="M23" s="49"/>
      <c r="N23" s="49"/>
      <c r="O23" s="49"/>
      <c r="P23" s="49"/>
      <c r="Q23" s="49"/>
      <c r="R23" s="49"/>
      <c r="S23" s="49"/>
      <c r="T23" s="49"/>
      <c r="U23" s="49"/>
      <c r="V23" s="49"/>
      <c r="W23" s="49"/>
      <c r="X23" s="49"/>
      <c r="Y23" s="49"/>
      <c r="Z23" s="49"/>
      <c r="AA23" s="49"/>
      <c r="AB23" s="49"/>
    </row>
    <row r="24" ht="87.5" spans="1:28">
      <c r="A24" s="15" t="s">
        <v>208</v>
      </c>
      <c r="B24" s="19"/>
      <c r="C24" s="15" t="s">
        <v>209</v>
      </c>
      <c r="D24" s="19"/>
      <c r="E24" s="15" t="s">
        <v>210</v>
      </c>
      <c r="F24" s="19"/>
      <c r="G24" s="19"/>
      <c r="H24" s="18" t="s">
        <v>133</v>
      </c>
      <c r="I24" s="15"/>
      <c r="J24" s="49"/>
      <c r="K24" s="49"/>
      <c r="L24" s="49"/>
      <c r="M24" s="49"/>
      <c r="N24" s="49"/>
      <c r="O24" s="49"/>
      <c r="P24" s="49"/>
      <c r="Q24" s="49"/>
      <c r="R24" s="49"/>
      <c r="S24" s="49"/>
      <c r="T24" s="49"/>
      <c r="U24" s="49"/>
      <c r="V24" s="49"/>
      <c r="W24" s="49"/>
      <c r="X24" s="49"/>
      <c r="Y24" s="49"/>
      <c r="Z24" s="49"/>
      <c r="AA24" s="49"/>
      <c r="AB24" s="49"/>
    </row>
    <row r="25" ht="87.5" spans="1:28">
      <c r="A25" s="15" t="s">
        <v>211</v>
      </c>
      <c r="B25" s="19"/>
      <c r="C25" s="15" t="s">
        <v>212</v>
      </c>
      <c r="D25" s="19"/>
      <c r="E25" s="15" t="s">
        <v>213</v>
      </c>
      <c r="F25" s="19"/>
      <c r="G25" s="19"/>
      <c r="H25" s="18" t="s">
        <v>133</v>
      </c>
      <c r="I25" s="15"/>
      <c r="J25" s="49"/>
      <c r="K25" s="49"/>
      <c r="L25" s="49"/>
      <c r="M25" s="49"/>
      <c r="N25" s="49"/>
      <c r="O25" s="49"/>
      <c r="P25" s="49"/>
      <c r="Q25" s="49"/>
      <c r="R25" s="49"/>
      <c r="S25" s="49"/>
      <c r="T25" s="49"/>
      <c r="U25" s="49"/>
      <c r="V25" s="49"/>
      <c r="W25" s="49"/>
      <c r="X25" s="49"/>
      <c r="Y25" s="49"/>
      <c r="Z25" s="49"/>
      <c r="AA25" s="49"/>
      <c r="AB25" s="49"/>
    </row>
    <row r="26" ht="87.5" spans="1:28">
      <c r="A26" s="15" t="s">
        <v>214</v>
      </c>
      <c r="B26" s="19"/>
      <c r="C26" s="15" t="s">
        <v>215</v>
      </c>
      <c r="D26" s="19"/>
      <c r="E26" s="15" t="s">
        <v>216</v>
      </c>
      <c r="F26" s="19"/>
      <c r="G26" s="19"/>
      <c r="H26" s="18" t="s">
        <v>133</v>
      </c>
      <c r="I26" s="15"/>
      <c r="J26" s="49"/>
      <c r="K26" s="49"/>
      <c r="L26" s="49"/>
      <c r="M26" s="49"/>
      <c r="N26" s="49"/>
      <c r="O26" s="49"/>
      <c r="P26" s="49"/>
      <c r="Q26" s="49"/>
      <c r="R26" s="49"/>
      <c r="S26" s="49"/>
      <c r="T26" s="49"/>
      <c r="U26" s="49"/>
      <c r="V26" s="49"/>
      <c r="W26" s="49"/>
      <c r="X26" s="49"/>
      <c r="Y26" s="49"/>
      <c r="Z26" s="49"/>
      <c r="AA26" s="49"/>
      <c r="AB26" s="49"/>
    </row>
    <row r="27" ht="87.5" spans="1:28">
      <c r="A27" s="15" t="s">
        <v>217</v>
      </c>
      <c r="B27" s="19"/>
      <c r="C27" s="15" t="s">
        <v>218</v>
      </c>
      <c r="D27" s="19"/>
      <c r="E27" s="15" t="s">
        <v>219</v>
      </c>
      <c r="F27" s="19"/>
      <c r="G27" s="19"/>
      <c r="H27" s="18" t="s">
        <v>133</v>
      </c>
      <c r="I27" s="15"/>
      <c r="J27" s="49"/>
      <c r="K27" s="49"/>
      <c r="L27" s="49"/>
      <c r="M27" s="49"/>
      <c r="N27" s="49"/>
      <c r="O27" s="49"/>
      <c r="P27" s="49"/>
      <c r="Q27" s="49"/>
      <c r="R27" s="49"/>
      <c r="S27" s="49"/>
      <c r="T27" s="49"/>
      <c r="U27" s="49"/>
      <c r="V27" s="49"/>
      <c r="W27" s="49"/>
      <c r="X27" s="49"/>
      <c r="Y27" s="49"/>
      <c r="Z27" s="49"/>
      <c r="AA27" s="49"/>
      <c r="AB27" s="49"/>
    </row>
    <row r="28" ht="87.5" spans="1:28">
      <c r="A28" s="15" t="s">
        <v>220</v>
      </c>
      <c r="B28" s="20"/>
      <c r="C28" s="15" t="s">
        <v>221</v>
      </c>
      <c r="D28" s="20"/>
      <c r="E28" s="15" t="s">
        <v>222</v>
      </c>
      <c r="F28" s="20"/>
      <c r="G28" s="20"/>
      <c r="H28" s="18" t="s">
        <v>133</v>
      </c>
      <c r="I28" s="15"/>
      <c r="J28" s="49"/>
      <c r="K28" s="49"/>
      <c r="L28" s="49"/>
      <c r="M28" s="49"/>
      <c r="N28" s="49"/>
      <c r="O28" s="49"/>
      <c r="P28" s="49"/>
      <c r="Q28" s="49"/>
      <c r="R28" s="49"/>
      <c r="S28" s="49"/>
      <c r="T28" s="49"/>
      <c r="U28" s="49"/>
      <c r="V28" s="49"/>
      <c r="W28" s="49"/>
      <c r="X28" s="49"/>
      <c r="Y28" s="49"/>
      <c r="Z28" s="49"/>
      <c r="AA28" s="49"/>
      <c r="AB28" s="49"/>
    </row>
    <row r="29" ht="25" spans="1:28">
      <c r="A29" s="15" t="s">
        <v>223</v>
      </c>
      <c r="B29" s="24" t="s">
        <v>224</v>
      </c>
      <c r="C29" s="22"/>
      <c r="D29" s="15" t="s">
        <v>225</v>
      </c>
      <c r="E29" s="15" t="s">
        <v>226</v>
      </c>
      <c r="F29" s="15" t="s">
        <v>227</v>
      </c>
      <c r="G29" s="15"/>
      <c r="H29" s="18" t="s">
        <v>133</v>
      </c>
      <c r="I29" s="38"/>
      <c r="J29" s="49"/>
      <c r="K29" s="49"/>
      <c r="L29" s="49"/>
      <c r="M29" s="49"/>
      <c r="N29" s="49"/>
      <c r="O29" s="49"/>
      <c r="P29" s="49"/>
      <c r="Q29" s="49"/>
      <c r="R29" s="49"/>
      <c r="S29" s="49"/>
      <c r="T29" s="49"/>
      <c r="U29" s="49"/>
      <c r="V29" s="49"/>
      <c r="W29" s="49"/>
      <c r="X29" s="49"/>
      <c r="Y29" s="49"/>
      <c r="Z29" s="49"/>
      <c r="AA29" s="49"/>
      <c r="AB29" s="49"/>
    </row>
    <row r="30" ht="50" spans="1:28">
      <c r="A30" s="15" t="s">
        <v>228</v>
      </c>
      <c r="B30" s="16" t="s">
        <v>229</v>
      </c>
      <c r="C30" s="15" t="s">
        <v>230</v>
      </c>
      <c r="D30" s="16" t="s">
        <v>225</v>
      </c>
      <c r="E30" s="15" t="s">
        <v>231</v>
      </c>
      <c r="F30" s="15" t="s">
        <v>232</v>
      </c>
      <c r="G30" s="15" t="s">
        <v>233</v>
      </c>
      <c r="H30" s="18" t="s">
        <v>134</v>
      </c>
      <c r="I30" s="50" t="s">
        <v>234</v>
      </c>
      <c r="J30" s="49"/>
      <c r="K30" s="49"/>
      <c r="L30" s="49"/>
      <c r="M30" s="49"/>
      <c r="N30" s="49"/>
      <c r="O30" s="49"/>
      <c r="P30" s="49"/>
      <c r="Q30" s="49"/>
      <c r="R30" s="49"/>
      <c r="S30" s="49"/>
      <c r="T30" s="49"/>
      <c r="U30" s="49"/>
      <c r="V30" s="49"/>
      <c r="W30" s="49"/>
      <c r="X30" s="49"/>
      <c r="Y30" s="49"/>
      <c r="Z30" s="49"/>
      <c r="AA30" s="49"/>
      <c r="AB30" s="49"/>
    </row>
    <row r="31" ht="50" spans="1:28">
      <c r="A31" s="15" t="s">
        <v>235</v>
      </c>
      <c r="B31" s="19"/>
      <c r="C31" s="15" t="s">
        <v>153</v>
      </c>
      <c r="D31" s="19"/>
      <c r="E31" s="15" t="s">
        <v>236</v>
      </c>
      <c r="F31" s="15" t="s">
        <v>232</v>
      </c>
      <c r="G31" s="15" t="s">
        <v>233</v>
      </c>
      <c r="H31" s="18" t="s">
        <v>134</v>
      </c>
      <c r="I31" s="50" t="s">
        <v>237</v>
      </c>
      <c r="J31" s="49"/>
      <c r="K31" s="49"/>
      <c r="L31" s="49"/>
      <c r="M31" s="49"/>
      <c r="N31" s="49"/>
      <c r="O31" s="49"/>
      <c r="P31" s="49"/>
      <c r="Q31" s="49"/>
      <c r="R31" s="49"/>
      <c r="S31" s="49"/>
      <c r="T31" s="49"/>
      <c r="U31" s="49"/>
      <c r="V31" s="49"/>
      <c r="W31" s="49"/>
      <c r="X31" s="49"/>
      <c r="Y31" s="49"/>
      <c r="Z31" s="49"/>
      <c r="AA31" s="49"/>
      <c r="AB31" s="49"/>
    </row>
    <row r="32" ht="50" spans="1:28">
      <c r="A32" s="15" t="s">
        <v>238</v>
      </c>
      <c r="B32" s="19"/>
      <c r="C32" s="15" t="s">
        <v>80</v>
      </c>
      <c r="D32" s="19"/>
      <c r="E32" s="15" t="s">
        <v>239</v>
      </c>
      <c r="F32" s="15" t="s">
        <v>240</v>
      </c>
      <c r="G32" s="15" t="s">
        <v>241</v>
      </c>
      <c r="H32" s="18" t="s">
        <v>134</v>
      </c>
      <c r="I32" s="50" t="s">
        <v>242</v>
      </c>
      <c r="J32" s="49"/>
      <c r="K32" s="49"/>
      <c r="L32" s="49"/>
      <c r="M32" s="49"/>
      <c r="N32" s="49"/>
      <c r="O32" s="49"/>
      <c r="P32" s="49"/>
      <c r="Q32" s="49"/>
      <c r="R32" s="49"/>
      <c r="S32" s="49"/>
      <c r="T32" s="49"/>
      <c r="U32" s="49"/>
      <c r="V32" s="49"/>
      <c r="W32" s="49"/>
      <c r="X32" s="49"/>
      <c r="Y32" s="49"/>
      <c r="Z32" s="49"/>
      <c r="AA32" s="49"/>
      <c r="AB32" s="49"/>
    </row>
    <row r="33" ht="50" spans="1:28">
      <c r="A33" s="15" t="s">
        <v>243</v>
      </c>
      <c r="B33" s="20"/>
      <c r="C33" s="15" t="s">
        <v>83</v>
      </c>
      <c r="D33" s="20"/>
      <c r="E33" s="15" t="s">
        <v>244</v>
      </c>
      <c r="F33" s="15" t="s">
        <v>245</v>
      </c>
      <c r="G33" s="15" t="s">
        <v>246</v>
      </c>
      <c r="H33" s="18" t="s">
        <v>134</v>
      </c>
      <c r="I33" s="50" t="s">
        <v>247</v>
      </c>
      <c r="J33" s="49"/>
      <c r="K33" s="49"/>
      <c r="L33" s="49"/>
      <c r="M33" s="49"/>
      <c r="N33" s="49"/>
      <c r="O33" s="49"/>
      <c r="P33" s="49"/>
      <c r="Q33" s="49"/>
      <c r="R33" s="49"/>
      <c r="S33" s="49"/>
      <c r="T33" s="49"/>
      <c r="U33" s="49"/>
      <c r="V33" s="49"/>
      <c r="W33" s="49"/>
      <c r="X33" s="49"/>
      <c r="Y33" s="49"/>
      <c r="Z33" s="49"/>
      <c r="AA33" s="49"/>
      <c r="AB33" s="49"/>
    </row>
    <row r="34" ht="62.5" spans="1:28">
      <c r="A34" s="15" t="s">
        <v>248</v>
      </c>
      <c r="B34" s="37" t="s">
        <v>249</v>
      </c>
      <c r="C34" s="15" t="s">
        <v>153</v>
      </c>
      <c r="D34" s="16" t="s">
        <v>225</v>
      </c>
      <c r="E34" s="15" t="s">
        <v>250</v>
      </c>
      <c r="F34" s="15" t="s">
        <v>232</v>
      </c>
      <c r="G34" s="15" t="s">
        <v>233</v>
      </c>
      <c r="H34" s="18" t="s">
        <v>134</v>
      </c>
      <c r="I34" s="50" t="s">
        <v>251</v>
      </c>
      <c r="J34" s="49"/>
      <c r="K34" s="49"/>
      <c r="L34" s="49"/>
      <c r="M34" s="49"/>
      <c r="N34" s="49"/>
      <c r="O34" s="49"/>
      <c r="P34" s="49"/>
      <c r="Q34" s="49"/>
      <c r="R34" s="49"/>
      <c r="S34" s="49"/>
      <c r="T34" s="49"/>
      <c r="U34" s="49"/>
      <c r="V34" s="49"/>
      <c r="W34" s="49"/>
      <c r="X34" s="49"/>
      <c r="Y34" s="49"/>
      <c r="Z34" s="49"/>
      <c r="AA34" s="49"/>
      <c r="AB34" s="49"/>
    </row>
    <row r="35" ht="62.5" spans="1:28">
      <c r="A35" s="15" t="s">
        <v>252</v>
      </c>
      <c r="B35" s="7"/>
      <c r="C35" s="15" t="s">
        <v>80</v>
      </c>
      <c r="D35" s="19"/>
      <c r="E35" s="15" t="s">
        <v>253</v>
      </c>
      <c r="F35" s="15" t="s">
        <v>240</v>
      </c>
      <c r="G35" s="15" t="s">
        <v>254</v>
      </c>
      <c r="H35" s="18" t="s">
        <v>134</v>
      </c>
      <c r="I35" s="50" t="s">
        <v>255</v>
      </c>
      <c r="J35" s="49"/>
      <c r="K35" s="49"/>
      <c r="L35" s="49"/>
      <c r="M35" s="49"/>
      <c r="N35" s="49"/>
      <c r="O35" s="49"/>
      <c r="P35" s="49"/>
      <c r="Q35" s="49"/>
      <c r="R35" s="49"/>
      <c r="S35" s="49"/>
      <c r="T35" s="49"/>
      <c r="U35" s="49"/>
      <c r="V35" s="49"/>
      <c r="W35" s="49"/>
      <c r="X35" s="49"/>
      <c r="Y35" s="49"/>
      <c r="Z35" s="49"/>
      <c r="AA35" s="49"/>
      <c r="AB35" s="49"/>
    </row>
    <row r="36" ht="62.5" spans="1:28">
      <c r="A36" s="15" t="s">
        <v>256</v>
      </c>
      <c r="B36" s="9"/>
      <c r="C36" s="15" t="s">
        <v>83</v>
      </c>
      <c r="D36" s="20"/>
      <c r="E36" s="15" t="s">
        <v>257</v>
      </c>
      <c r="F36" s="15" t="s">
        <v>245</v>
      </c>
      <c r="G36" s="15" t="s">
        <v>246</v>
      </c>
      <c r="H36" s="18" t="s">
        <v>134</v>
      </c>
      <c r="I36" s="50" t="s">
        <v>258</v>
      </c>
      <c r="J36" s="49"/>
      <c r="K36" s="49"/>
      <c r="L36" s="49"/>
      <c r="M36" s="49"/>
      <c r="N36" s="49"/>
      <c r="O36" s="49"/>
      <c r="P36" s="49"/>
      <c r="Q36" s="49"/>
      <c r="R36" s="49"/>
      <c r="S36" s="49"/>
      <c r="T36" s="49"/>
      <c r="U36" s="49"/>
      <c r="V36" s="49"/>
      <c r="W36" s="49"/>
      <c r="X36" s="49"/>
      <c r="Y36" s="49"/>
      <c r="Z36" s="49"/>
      <c r="AA36" s="49"/>
      <c r="AB36" s="49"/>
    </row>
    <row r="37" ht="87.5" spans="1:28">
      <c r="A37" s="15" t="s">
        <v>259</v>
      </c>
      <c r="B37" s="16" t="s">
        <v>260</v>
      </c>
      <c r="C37" s="15" t="s">
        <v>261</v>
      </c>
      <c r="D37" s="42" t="s">
        <v>262</v>
      </c>
      <c r="E37" s="15" t="s">
        <v>263</v>
      </c>
      <c r="F37" s="23" t="s">
        <v>264</v>
      </c>
      <c r="G37" s="23" t="s">
        <v>265</v>
      </c>
      <c r="H37" s="18" t="s">
        <v>134</v>
      </c>
      <c r="I37" s="50" t="s">
        <v>266</v>
      </c>
      <c r="J37" s="49"/>
      <c r="K37" s="49"/>
      <c r="L37" s="49"/>
      <c r="M37" s="49"/>
      <c r="N37" s="49"/>
      <c r="O37" s="49"/>
      <c r="P37" s="49"/>
      <c r="Q37" s="49"/>
      <c r="R37" s="49"/>
      <c r="S37" s="49"/>
      <c r="T37" s="49"/>
      <c r="U37" s="49"/>
      <c r="V37" s="49"/>
      <c r="W37" s="49"/>
      <c r="X37" s="49"/>
      <c r="Y37" s="49"/>
      <c r="Z37" s="49"/>
      <c r="AA37" s="49"/>
      <c r="AB37" s="49"/>
    </row>
    <row r="38" ht="87.5" spans="1:28">
      <c r="A38" s="15" t="s">
        <v>267</v>
      </c>
      <c r="B38" s="19"/>
      <c r="C38" s="15" t="s">
        <v>268</v>
      </c>
      <c r="D38" s="42" t="s">
        <v>269</v>
      </c>
      <c r="E38" s="15" t="s">
        <v>270</v>
      </c>
      <c r="F38" s="23" t="s">
        <v>264</v>
      </c>
      <c r="G38" s="23" t="s">
        <v>271</v>
      </c>
      <c r="H38" s="18" t="s">
        <v>134</v>
      </c>
      <c r="I38" s="50" t="s">
        <v>272</v>
      </c>
      <c r="J38" s="49"/>
      <c r="K38" s="49"/>
      <c r="L38" s="49"/>
      <c r="M38" s="49"/>
      <c r="N38" s="49"/>
      <c r="O38" s="49"/>
      <c r="P38" s="49"/>
      <c r="Q38" s="49"/>
      <c r="R38" s="49"/>
      <c r="S38" s="49"/>
      <c r="T38" s="49"/>
      <c r="U38" s="49"/>
      <c r="V38" s="49"/>
      <c r="W38" s="49"/>
      <c r="X38" s="49"/>
      <c r="Y38" s="49"/>
      <c r="Z38" s="49"/>
      <c r="AA38" s="49"/>
      <c r="AB38" s="49"/>
    </row>
    <row r="39" ht="87.5" spans="1:28">
      <c r="A39" s="15" t="s">
        <v>273</v>
      </c>
      <c r="B39" s="19"/>
      <c r="C39" s="15" t="s">
        <v>274</v>
      </c>
      <c r="D39" s="42" t="s">
        <v>275</v>
      </c>
      <c r="E39" s="15" t="s">
        <v>276</v>
      </c>
      <c r="F39" s="23" t="s">
        <v>264</v>
      </c>
      <c r="G39" s="23" t="s">
        <v>271</v>
      </c>
      <c r="H39" s="18" t="s">
        <v>134</v>
      </c>
      <c r="I39" s="50" t="s">
        <v>277</v>
      </c>
      <c r="J39" s="49"/>
      <c r="K39" s="49"/>
      <c r="L39" s="49"/>
      <c r="M39" s="49"/>
      <c r="N39" s="49"/>
      <c r="O39" s="49"/>
      <c r="P39" s="49"/>
      <c r="Q39" s="49"/>
      <c r="R39" s="49"/>
      <c r="S39" s="49"/>
      <c r="T39" s="49"/>
      <c r="U39" s="49"/>
      <c r="V39" s="49"/>
      <c r="W39" s="49"/>
      <c r="X39" s="49"/>
      <c r="Y39" s="49"/>
      <c r="Z39" s="49"/>
      <c r="AA39" s="49"/>
      <c r="AB39" s="49"/>
    </row>
    <row r="40" ht="87.5" spans="1:28">
      <c r="A40" s="15" t="s">
        <v>278</v>
      </c>
      <c r="B40" s="20"/>
      <c r="C40" s="15" t="s">
        <v>279</v>
      </c>
      <c r="D40" s="42" t="s">
        <v>280</v>
      </c>
      <c r="E40" s="15" t="s">
        <v>281</v>
      </c>
      <c r="F40" s="23" t="s">
        <v>264</v>
      </c>
      <c r="G40" s="23" t="s">
        <v>271</v>
      </c>
      <c r="H40" s="18" t="s">
        <v>134</v>
      </c>
      <c r="I40" s="50" t="s">
        <v>282</v>
      </c>
      <c r="J40" s="49"/>
      <c r="K40" s="49"/>
      <c r="L40" s="49"/>
      <c r="M40" s="49"/>
      <c r="N40" s="49"/>
      <c r="O40" s="49"/>
      <c r="P40" s="49"/>
      <c r="Q40" s="49"/>
      <c r="R40" s="49"/>
      <c r="S40" s="49"/>
      <c r="T40" s="49"/>
      <c r="U40" s="49"/>
      <c r="V40" s="49"/>
      <c r="W40" s="49"/>
      <c r="X40" s="49"/>
      <c r="Y40" s="49"/>
      <c r="Z40" s="49"/>
      <c r="AA40" s="49"/>
      <c r="AB40" s="49"/>
    </row>
    <row r="41" ht="87.5" spans="1:28">
      <c r="A41" s="15" t="s">
        <v>283</v>
      </c>
      <c r="B41" s="16" t="s">
        <v>284</v>
      </c>
      <c r="C41" s="15" t="s">
        <v>285</v>
      </c>
      <c r="D41" s="42" t="s">
        <v>286</v>
      </c>
      <c r="E41" s="23" t="s">
        <v>287</v>
      </c>
      <c r="F41" s="23" t="s">
        <v>288</v>
      </c>
      <c r="G41" s="23" t="s">
        <v>289</v>
      </c>
      <c r="H41" s="18" t="s">
        <v>134</v>
      </c>
      <c r="I41" s="50" t="s">
        <v>290</v>
      </c>
      <c r="J41" s="49"/>
      <c r="K41" s="49"/>
      <c r="L41" s="49"/>
      <c r="M41" s="49"/>
      <c r="N41" s="49"/>
      <c r="O41" s="49"/>
      <c r="P41" s="49"/>
      <c r="Q41" s="49"/>
      <c r="R41" s="49"/>
      <c r="S41" s="49"/>
      <c r="T41" s="49"/>
      <c r="U41" s="49"/>
      <c r="V41" s="49"/>
      <c r="W41" s="49"/>
      <c r="X41" s="49"/>
      <c r="Y41" s="49"/>
      <c r="Z41" s="49"/>
      <c r="AA41" s="49"/>
      <c r="AB41" s="49"/>
    </row>
    <row r="42" ht="75" spans="1:28">
      <c r="A42" s="15" t="s">
        <v>291</v>
      </c>
      <c r="B42" s="19"/>
      <c r="C42" s="15" t="s">
        <v>292</v>
      </c>
      <c r="D42" s="42" t="s">
        <v>293</v>
      </c>
      <c r="E42" s="23" t="s">
        <v>294</v>
      </c>
      <c r="F42" s="16" t="s">
        <v>295</v>
      </c>
      <c r="G42" s="29" t="s">
        <v>296</v>
      </c>
      <c r="H42" s="18" t="s">
        <v>134</v>
      </c>
      <c r="I42" s="50" t="s">
        <v>297</v>
      </c>
      <c r="J42" s="49"/>
      <c r="K42" s="49"/>
      <c r="L42" s="49"/>
      <c r="M42" s="49"/>
      <c r="N42" s="49"/>
      <c r="O42" s="49"/>
      <c r="P42" s="49"/>
      <c r="Q42" s="49"/>
      <c r="R42" s="49"/>
      <c r="S42" s="49"/>
      <c r="T42" s="49"/>
      <c r="U42" s="49"/>
      <c r="V42" s="49"/>
      <c r="W42" s="49"/>
      <c r="X42" s="49"/>
      <c r="Y42" s="49"/>
      <c r="Z42" s="49"/>
      <c r="AA42" s="49"/>
      <c r="AB42" s="49"/>
    </row>
    <row r="43" ht="87.5" spans="1:28">
      <c r="A43" s="15" t="s">
        <v>298</v>
      </c>
      <c r="B43" s="19"/>
      <c r="C43" s="15" t="s">
        <v>299</v>
      </c>
      <c r="D43" s="42" t="s">
        <v>300</v>
      </c>
      <c r="E43" s="23" t="s">
        <v>301</v>
      </c>
      <c r="F43" s="19"/>
      <c r="G43" s="8"/>
      <c r="H43" s="18" t="s">
        <v>134</v>
      </c>
      <c r="I43" s="50" t="s">
        <v>297</v>
      </c>
      <c r="J43" s="49"/>
      <c r="K43" s="49"/>
      <c r="L43" s="49"/>
      <c r="M43" s="49"/>
      <c r="N43" s="49"/>
      <c r="O43" s="49"/>
      <c r="P43" s="49"/>
      <c r="Q43" s="49"/>
      <c r="R43" s="49"/>
      <c r="S43" s="49"/>
      <c r="T43" s="49"/>
      <c r="U43" s="49"/>
      <c r="V43" s="49"/>
      <c r="W43" s="49"/>
      <c r="X43" s="49"/>
      <c r="Y43" s="49"/>
      <c r="Z43" s="49"/>
      <c r="AA43" s="49"/>
      <c r="AB43" s="49"/>
    </row>
    <row r="44" ht="87.5" spans="1:28">
      <c r="A44" s="15" t="s">
        <v>302</v>
      </c>
      <c r="B44" s="20"/>
      <c r="C44" s="15" t="s">
        <v>303</v>
      </c>
      <c r="D44" s="42" t="s">
        <v>304</v>
      </c>
      <c r="E44" s="23" t="s">
        <v>305</v>
      </c>
      <c r="F44" s="20"/>
      <c r="G44" s="10"/>
      <c r="H44" s="18" t="s">
        <v>134</v>
      </c>
      <c r="I44" s="50" t="s">
        <v>297</v>
      </c>
      <c r="J44" s="49"/>
      <c r="K44" s="49"/>
      <c r="L44" s="49"/>
      <c r="M44" s="49"/>
      <c r="N44" s="49"/>
      <c r="O44" s="49"/>
      <c r="P44" s="49"/>
      <c r="Q44" s="49"/>
      <c r="R44" s="49"/>
      <c r="S44" s="49"/>
      <c r="T44" s="49"/>
      <c r="U44" s="49"/>
      <c r="V44" s="49"/>
      <c r="W44" s="49"/>
      <c r="X44" s="49"/>
      <c r="Y44" s="49"/>
      <c r="Z44" s="49"/>
      <c r="AA44" s="49"/>
      <c r="AB44" s="49"/>
    </row>
    <row r="45" ht="87.5" spans="1:28">
      <c r="A45" s="15" t="s">
        <v>306</v>
      </c>
      <c r="B45" s="16" t="s">
        <v>307</v>
      </c>
      <c r="C45" s="15" t="s">
        <v>308</v>
      </c>
      <c r="D45" s="42" t="s">
        <v>309</v>
      </c>
      <c r="E45" s="23" t="s">
        <v>310</v>
      </c>
      <c r="F45" s="15" t="s">
        <v>311</v>
      </c>
      <c r="G45" s="15" t="s">
        <v>312</v>
      </c>
      <c r="H45" s="18" t="s">
        <v>134</v>
      </c>
      <c r="I45" s="50" t="s">
        <v>313</v>
      </c>
      <c r="J45" s="49"/>
      <c r="K45" s="49"/>
      <c r="L45" s="49"/>
      <c r="M45" s="49"/>
      <c r="N45" s="49"/>
      <c r="O45" s="49"/>
      <c r="P45" s="49"/>
      <c r="Q45" s="49"/>
      <c r="R45" s="49"/>
      <c r="S45" s="49"/>
      <c r="T45" s="49"/>
      <c r="U45" s="49"/>
      <c r="V45" s="49"/>
      <c r="W45" s="49"/>
      <c r="X45" s="49"/>
      <c r="Y45" s="49"/>
      <c r="Z45" s="49"/>
      <c r="AA45" s="49"/>
      <c r="AB45" s="49"/>
    </row>
    <row r="46" ht="87.5" spans="1:28">
      <c r="A46" s="15" t="s">
        <v>314</v>
      </c>
      <c r="B46" s="20"/>
      <c r="C46" s="15" t="s">
        <v>315</v>
      </c>
      <c r="D46" s="15" t="s">
        <v>316</v>
      </c>
      <c r="E46" s="23" t="s">
        <v>317</v>
      </c>
      <c r="F46" s="35" t="s">
        <v>318</v>
      </c>
      <c r="G46" s="35" t="s">
        <v>319</v>
      </c>
      <c r="H46" s="18" t="s">
        <v>134</v>
      </c>
      <c r="I46" s="50" t="s">
        <v>320</v>
      </c>
      <c r="J46" s="49"/>
      <c r="K46" s="49"/>
      <c r="L46" s="49"/>
      <c r="M46" s="49"/>
      <c r="N46" s="49"/>
      <c r="O46" s="49"/>
      <c r="P46" s="49"/>
      <c r="Q46" s="49"/>
      <c r="R46" s="49"/>
      <c r="S46" s="49"/>
      <c r="T46" s="49"/>
      <c r="U46" s="49"/>
      <c r="V46" s="49"/>
      <c r="W46" s="49"/>
      <c r="X46" s="49"/>
      <c r="Y46" s="49"/>
      <c r="Z46" s="49"/>
      <c r="AA46" s="49"/>
      <c r="AB46" s="49"/>
    </row>
    <row r="47" ht="50" spans="1:28">
      <c r="A47" s="15" t="s">
        <v>321</v>
      </c>
      <c r="B47" s="24" t="s">
        <v>322</v>
      </c>
      <c r="C47" s="22"/>
      <c r="E47" s="15" t="s">
        <v>323</v>
      </c>
      <c r="F47" s="15" t="s">
        <v>324</v>
      </c>
      <c r="G47" s="15" t="s">
        <v>325</v>
      </c>
      <c r="H47" s="18" t="s">
        <v>134</v>
      </c>
      <c r="I47" s="50" t="s">
        <v>326</v>
      </c>
      <c r="J47" s="49"/>
      <c r="K47" s="49"/>
      <c r="L47" s="49"/>
      <c r="M47" s="49"/>
      <c r="N47" s="49"/>
      <c r="O47" s="49"/>
      <c r="P47" s="49"/>
      <c r="Q47" s="49"/>
      <c r="R47" s="49"/>
      <c r="S47" s="49"/>
      <c r="T47" s="49"/>
      <c r="U47" s="49"/>
      <c r="V47" s="49"/>
      <c r="W47" s="49"/>
      <c r="X47" s="49"/>
      <c r="Y47" s="49"/>
      <c r="Z47" s="49"/>
      <c r="AA47" s="49"/>
      <c r="AB47" s="49"/>
    </row>
    <row r="48" ht="62.5" spans="1:28">
      <c r="A48" s="15" t="s">
        <v>327</v>
      </c>
      <c r="B48" s="24" t="s">
        <v>328</v>
      </c>
      <c r="C48" s="22"/>
      <c r="D48" s="16" t="s">
        <v>316</v>
      </c>
      <c r="E48" s="15" t="s">
        <v>329</v>
      </c>
      <c r="F48" s="15" t="s">
        <v>330</v>
      </c>
      <c r="G48" s="15"/>
      <c r="H48" s="18" t="s">
        <v>133</v>
      </c>
      <c r="I48" s="15"/>
      <c r="J48" s="49"/>
      <c r="K48" s="49"/>
      <c r="L48" s="49"/>
      <c r="M48" s="49"/>
      <c r="N48" s="49"/>
      <c r="O48" s="49"/>
      <c r="P48" s="49"/>
      <c r="Q48" s="49"/>
      <c r="R48" s="49"/>
      <c r="S48" s="49"/>
      <c r="T48" s="49"/>
      <c r="U48" s="49"/>
      <c r="V48" s="49"/>
      <c r="W48" s="49"/>
      <c r="X48" s="49"/>
      <c r="Y48" s="49"/>
      <c r="Z48" s="49"/>
      <c r="AA48" s="49"/>
      <c r="AB48" s="49"/>
    </row>
    <row r="49" ht="73.5" customHeight="1" spans="1:28">
      <c r="A49" s="15" t="s">
        <v>331</v>
      </c>
      <c r="B49" s="16" t="s">
        <v>332</v>
      </c>
      <c r="C49" s="15" t="s">
        <v>333</v>
      </c>
      <c r="D49" s="19"/>
      <c r="E49" s="15" t="s">
        <v>334</v>
      </c>
      <c r="F49" s="15" t="s">
        <v>335</v>
      </c>
      <c r="G49" s="15" t="s">
        <v>336</v>
      </c>
      <c r="H49" s="18" t="s">
        <v>134</v>
      </c>
      <c r="I49" s="15" t="s">
        <v>337</v>
      </c>
      <c r="J49" s="49"/>
      <c r="K49" s="49"/>
      <c r="L49" s="49"/>
      <c r="M49" s="49"/>
      <c r="N49" s="49"/>
      <c r="O49" s="49"/>
      <c r="P49" s="49"/>
      <c r="Q49" s="49"/>
      <c r="R49" s="49"/>
      <c r="S49" s="49"/>
      <c r="T49" s="49"/>
      <c r="U49" s="49"/>
      <c r="V49" s="49"/>
      <c r="W49" s="49"/>
      <c r="X49" s="49"/>
      <c r="Y49" s="49"/>
      <c r="Z49" s="49"/>
      <c r="AA49" s="49"/>
      <c r="AB49" s="49"/>
    </row>
    <row r="50" ht="73.5" customHeight="1" spans="1:28">
      <c r="A50" s="15" t="s">
        <v>338</v>
      </c>
      <c r="B50" s="24" t="s">
        <v>339</v>
      </c>
      <c r="C50" s="22"/>
      <c r="D50" s="20"/>
      <c r="E50" s="15" t="s">
        <v>340</v>
      </c>
      <c r="F50" s="48" t="s">
        <v>341</v>
      </c>
      <c r="G50" s="15" t="s">
        <v>342</v>
      </c>
      <c r="H50" s="18" t="s">
        <v>134</v>
      </c>
      <c r="I50" s="15" t="s">
        <v>343</v>
      </c>
      <c r="J50" s="49"/>
      <c r="K50" s="49"/>
      <c r="L50" s="49"/>
      <c r="M50" s="49"/>
      <c r="N50" s="49"/>
      <c r="O50" s="49"/>
      <c r="P50" s="49"/>
      <c r="Q50" s="49"/>
      <c r="R50" s="49"/>
      <c r="S50" s="49"/>
      <c r="T50" s="49"/>
      <c r="U50" s="49"/>
      <c r="V50" s="49"/>
      <c r="W50" s="49"/>
      <c r="X50" s="49"/>
      <c r="Y50" s="49"/>
      <c r="Z50" s="49"/>
      <c r="AA50" s="49"/>
      <c r="AB50" s="49"/>
    </row>
    <row r="51" ht="25" spans="1:28">
      <c r="A51" s="15" t="s">
        <v>344</v>
      </c>
      <c r="B51" s="16" t="s">
        <v>345</v>
      </c>
      <c r="C51" s="15" t="s">
        <v>346</v>
      </c>
      <c r="D51" s="16" t="s">
        <v>316</v>
      </c>
      <c r="E51" s="15" t="s">
        <v>347</v>
      </c>
      <c r="F51" s="15" t="s">
        <v>348</v>
      </c>
      <c r="G51" s="15"/>
      <c r="H51" s="15" t="s">
        <v>133</v>
      </c>
      <c r="I51" s="15"/>
      <c r="J51" s="49"/>
      <c r="K51" s="49"/>
      <c r="L51" s="49"/>
      <c r="M51" s="49"/>
      <c r="N51" s="49"/>
      <c r="O51" s="49"/>
      <c r="P51" s="49"/>
      <c r="Q51" s="49"/>
      <c r="R51" s="49"/>
      <c r="S51" s="49"/>
      <c r="T51" s="49"/>
      <c r="U51" s="49"/>
      <c r="V51" s="49"/>
      <c r="W51" s="49"/>
      <c r="X51" s="49"/>
      <c r="Y51" s="49"/>
      <c r="Z51" s="49"/>
      <c r="AA51" s="49"/>
      <c r="AB51" s="49"/>
    </row>
    <row r="52" ht="62.5" spans="1:28">
      <c r="A52" s="15" t="s">
        <v>349</v>
      </c>
      <c r="B52" s="20"/>
      <c r="C52" s="15" t="s">
        <v>350</v>
      </c>
      <c r="D52" s="19"/>
      <c r="E52" s="15" t="s">
        <v>351</v>
      </c>
      <c r="F52" s="15" t="s">
        <v>352</v>
      </c>
      <c r="G52" s="15"/>
      <c r="H52" s="15" t="s">
        <v>133</v>
      </c>
      <c r="I52" s="15"/>
      <c r="J52" s="49"/>
      <c r="K52" s="49"/>
      <c r="L52" s="49"/>
      <c r="M52" s="49"/>
      <c r="N52" s="49"/>
      <c r="O52" s="49"/>
      <c r="P52" s="49"/>
      <c r="Q52" s="49"/>
      <c r="R52" s="49"/>
      <c r="S52" s="49"/>
      <c r="T52" s="49"/>
      <c r="U52" s="49"/>
      <c r="V52" s="49"/>
      <c r="W52" s="49"/>
      <c r="X52" s="49"/>
      <c r="Y52" s="49"/>
      <c r="Z52" s="49"/>
      <c r="AA52" s="49"/>
      <c r="AB52" s="49"/>
    </row>
    <row r="53" ht="50" spans="1:28">
      <c r="A53" s="15" t="s">
        <v>353</v>
      </c>
      <c r="B53" s="16" t="s">
        <v>354</v>
      </c>
      <c r="C53" s="15" t="s">
        <v>355</v>
      </c>
      <c r="D53" s="19"/>
      <c r="E53" s="15" t="s">
        <v>356</v>
      </c>
      <c r="F53" s="15" t="s">
        <v>357</v>
      </c>
      <c r="G53" s="15"/>
      <c r="H53" s="15" t="s">
        <v>133</v>
      </c>
      <c r="I53" s="15"/>
      <c r="J53" s="49"/>
      <c r="K53" s="49"/>
      <c r="L53" s="49"/>
      <c r="M53" s="49"/>
      <c r="N53" s="49"/>
      <c r="O53" s="49"/>
      <c r="P53" s="49"/>
      <c r="Q53" s="49"/>
      <c r="R53" s="49"/>
      <c r="S53" s="49"/>
      <c r="T53" s="49"/>
      <c r="U53" s="49"/>
      <c r="V53" s="49"/>
      <c r="W53" s="49"/>
      <c r="X53" s="49"/>
      <c r="Y53" s="49"/>
      <c r="Z53" s="49"/>
      <c r="AA53" s="49"/>
      <c r="AB53" s="49"/>
    </row>
    <row r="54" ht="37.5" spans="1:28">
      <c r="A54" s="15" t="s">
        <v>358</v>
      </c>
      <c r="B54" s="20"/>
      <c r="C54" s="15" t="s">
        <v>359</v>
      </c>
      <c r="D54" s="20"/>
      <c r="E54" s="15" t="s">
        <v>360</v>
      </c>
      <c r="F54" s="15" t="s">
        <v>361</v>
      </c>
      <c r="G54" s="15"/>
      <c r="H54" s="15" t="s">
        <v>133</v>
      </c>
      <c r="I54" s="15"/>
      <c r="J54" s="49"/>
      <c r="K54" s="49"/>
      <c r="L54" s="49"/>
      <c r="M54" s="49"/>
      <c r="N54" s="49"/>
      <c r="O54" s="49"/>
      <c r="P54" s="49"/>
      <c r="Q54" s="49"/>
      <c r="R54" s="49"/>
      <c r="S54" s="49"/>
      <c r="T54" s="49"/>
      <c r="U54" s="49"/>
      <c r="V54" s="49"/>
      <c r="W54" s="49"/>
      <c r="X54" s="49"/>
      <c r="Y54" s="49"/>
      <c r="Z54" s="49"/>
      <c r="AA54" s="49"/>
      <c r="AB54" s="49"/>
    </row>
    <row r="55" ht="16.5" spans="1:28">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row>
    <row r="56" ht="16.5" spans="1:28">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row>
    <row r="57" ht="16.5" spans="1:28">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row>
    <row r="58" ht="16.5" spans="1:28">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row>
    <row r="59" ht="16.5" spans="1:28">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row>
    <row r="60" ht="16.5" spans="1:28">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row>
    <row r="61" ht="16.5" spans="1:28">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row>
    <row r="62" ht="16.5" spans="1:28">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row>
    <row r="63" ht="16.5" spans="1:28">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c r="AA63" s="49"/>
      <c r="AB63" s="49"/>
    </row>
    <row r="64" ht="16.5" spans="1:28">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row>
    <row r="65" ht="16.5" spans="1:28">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c r="AA65" s="49"/>
      <c r="AB65" s="49"/>
    </row>
    <row r="66" ht="16.5" spans="1:28">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row>
    <row r="67" ht="16.5" spans="1:28">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c r="AA67" s="49"/>
      <c r="AB67" s="49"/>
    </row>
    <row r="68" ht="16.5" spans="1:28">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c r="AA68" s="49"/>
      <c r="AB68" s="49"/>
    </row>
    <row r="69" ht="16.5" spans="1:28">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row>
    <row r="70" ht="16.5" spans="1:28">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c r="AA70" s="49"/>
      <c r="AB70" s="49"/>
    </row>
    <row r="71" ht="16.5" spans="1:28">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c r="AA71" s="49"/>
      <c r="AB71" s="49"/>
    </row>
    <row r="72" ht="16.5" spans="1:28">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c r="AA72" s="49"/>
      <c r="AB72" s="49"/>
    </row>
    <row r="73" ht="16.5" spans="1:28">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c r="AA73" s="49"/>
      <c r="AB73" s="49"/>
    </row>
    <row r="74" ht="16.5" spans="1:28">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row>
    <row r="75" ht="16.5" spans="1:28">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row>
    <row r="76" ht="16.5" spans="1:28">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row>
    <row r="77" ht="16.5" spans="1:28">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row>
    <row r="78" ht="16.5" spans="1:28">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row>
    <row r="79" ht="16.5" spans="1:28">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row>
    <row r="80" ht="16.5" spans="1:28">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row>
    <row r="81" ht="16.5" spans="1:28">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row>
    <row r="82" ht="16.5" spans="1:28">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c r="AA82" s="49"/>
      <c r="AB82" s="49"/>
    </row>
    <row r="83" ht="16.5" spans="1:28">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c r="AA83" s="49"/>
      <c r="AB83" s="49"/>
    </row>
    <row r="84" ht="16.5" spans="1:28">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c r="AA84" s="49"/>
      <c r="AB84" s="49"/>
    </row>
    <row r="85" ht="16.5" spans="1:28">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c r="AA85" s="49"/>
      <c r="AB85" s="49"/>
    </row>
    <row r="86" ht="16.5" spans="1:28">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c r="AA86" s="49"/>
      <c r="AB86" s="49"/>
    </row>
    <row r="87" ht="16.5" spans="1:28">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row>
    <row r="88" ht="16.5" spans="1:28">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c r="AA88" s="49"/>
      <c r="AB88" s="49"/>
    </row>
    <row r="89" ht="16.5" spans="1:28">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c r="AA89" s="49"/>
      <c r="AB89" s="49"/>
    </row>
    <row r="90" ht="16.5" spans="1:28">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c r="AA90" s="49"/>
      <c r="AB90" s="49"/>
    </row>
    <row r="91" ht="16.5" spans="1:28">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c r="AA91" s="49"/>
      <c r="AB91" s="49"/>
    </row>
    <row r="92" ht="16.5" spans="1:28">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c r="AA92" s="49"/>
      <c r="AB92" s="49"/>
    </row>
    <row r="93" ht="16.5" spans="1:28">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c r="AA93" s="49"/>
      <c r="AB93" s="49"/>
    </row>
    <row r="94" ht="16.5" spans="1:28">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c r="AA94" s="49"/>
      <c r="AB94" s="49"/>
    </row>
    <row r="95" ht="16.5" spans="1:28">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row>
    <row r="96" ht="16.5" spans="1:28">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row>
    <row r="97" ht="16.5" spans="1:28">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row>
    <row r="98" ht="16.5" spans="1:28">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row>
    <row r="99" ht="16.5" spans="1:28">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row>
    <row r="100" ht="16.5" spans="1:28">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row>
    <row r="101" ht="16.5" spans="1:28">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row>
    <row r="102" ht="16.5" spans="1:28">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row>
    <row r="103" ht="16.5" spans="1:28">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row>
    <row r="104" ht="16.5" spans="1:28">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row>
    <row r="105" ht="16.5" spans="1:28">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row>
    <row r="106" ht="16.5" spans="1:28">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row>
    <row r="107" ht="16.5" spans="1:28">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row>
    <row r="108" ht="16.5" spans="1:28">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row>
    <row r="109" ht="16.5" spans="1:28">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row>
    <row r="110" ht="16.5" spans="1:28">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row>
    <row r="111" ht="16.5" spans="1:28">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row>
    <row r="112" ht="16.5" spans="1:28">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row>
    <row r="113" ht="16.5" spans="1:28">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row>
    <row r="114" ht="16.5" spans="1:28">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row>
    <row r="115" ht="16.5" spans="1:28">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row>
    <row r="116" ht="16.5" spans="1:28">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row>
    <row r="117" ht="16.5" spans="1:28">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row>
    <row r="118" ht="16.5" spans="1:28">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row>
    <row r="119" ht="16.5" spans="1:28">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row>
    <row r="120" ht="16.5" spans="1:28">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row>
    <row r="121" ht="16.5" spans="1:28">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row>
    <row r="122" ht="16.5" spans="1:28">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row>
    <row r="123" ht="16.5" spans="1:28">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row>
    <row r="124" ht="16.5" spans="1:28">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row>
    <row r="125" ht="16.5" spans="1:28">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row>
    <row r="126" ht="16.5" spans="1:28">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row>
    <row r="127" ht="16.5" spans="1:28">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row>
    <row r="128" ht="16.5" spans="1:28">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row>
    <row r="129" ht="16.5" spans="1:28">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row>
    <row r="130" ht="16.5" spans="1:28">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row>
    <row r="131" ht="16.5" spans="1:28">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row>
    <row r="132" ht="16.5" spans="1:28">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row>
    <row r="133" ht="16.5" spans="1:28">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row>
    <row r="134" ht="16.5" spans="1:28">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row>
    <row r="135" ht="16.5" spans="1:28">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row>
    <row r="136" ht="16.5" spans="1:28">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row>
    <row r="137" ht="16.5" spans="1:28">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row>
    <row r="138" ht="16.5" spans="1:28">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row>
    <row r="139" ht="16.5" spans="1:28">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row>
    <row r="140" ht="16.5" spans="1:28">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row>
    <row r="141" ht="16.5" spans="1:28">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row>
    <row r="142" ht="16.5" spans="1:28">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row>
    <row r="143" ht="16.5" spans="1:28">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row>
    <row r="144" ht="16.5" spans="1:28">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row>
    <row r="145" ht="16.5" spans="1:28">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row>
    <row r="146" ht="16.5" spans="1:28">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row>
    <row r="147" ht="16.5" spans="1:28">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row>
    <row r="148" ht="16.5" spans="1:28">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row>
    <row r="149" ht="16.5" spans="1:28">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row>
    <row r="150" ht="16.5" spans="1:28">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row>
    <row r="151" ht="16.5" spans="1:28">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row>
    <row r="152" ht="16.5" spans="1:28">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row>
    <row r="153" ht="16.5" spans="1:28">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row>
    <row r="154" ht="16.5" spans="1:28">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row>
    <row r="155" ht="16.5" spans="1:28">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row>
    <row r="156" ht="16.5" spans="1:28">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row>
    <row r="157" ht="16.5" spans="1:28">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row>
    <row r="158" ht="16.5" spans="1:28">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row>
    <row r="159" ht="16.5" spans="1:28">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row>
    <row r="160" ht="16.5" spans="1:28">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row>
    <row r="161" ht="16.5" spans="1:28">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row>
    <row r="162" ht="16.5" spans="1:28">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row>
    <row r="163" ht="16.5" spans="1:28">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row>
    <row r="164" ht="16.5" spans="1:28">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row>
    <row r="165" ht="16.5" spans="1:28">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row>
    <row r="166" ht="16.5" spans="1:28">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row>
    <row r="167" ht="16.5" spans="1:28">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row>
    <row r="168" ht="16.5" spans="1:28">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row>
    <row r="169" ht="16.5" spans="1:28">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row>
    <row r="170" ht="16.5" spans="1:28">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row>
    <row r="171" ht="16.5" spans="1:28">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row>
    <row r="172" ht="16.5" spans="1:28">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row>
    <row r="173" ht="16.5" spans="1:28">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row>
    <row r="174" ht="16.5" spans="1:28">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row>
    <row r="175" ht="16.5" spans="1:28">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row>
    <row r="176" ht="16.5" spans="1:28">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row>
    <row r="177" ht="16.5" spans="1:28">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row>
    <row r="178" ht="16.5" spans="1:28">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row>
    <row r="179" ht="16.5" spans="1:28">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row>
    <row r="180" ht="16.5" spans="1:28">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row>
    <row r="181" ht="16.5" spans="1:28">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row>
    <row r="182" ht="16.5" spans="1:28">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row>
    <row r="183" ht="16.5" spans="1:28">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row>
    <row r="184" ht="16.5" spans="1:28">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row>
    <row r="185" ht="16.5" spans="1:28">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row>
    <row r="186" ht="16.5" spans="1:28">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row>
    <row r="187" ht="16.5" spans="1:28">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row>
    <row r="188" ht="16.5" spans="1:28">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row>
    <row r="189" ht="16.5" spans="1:28">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row>
    <row r="190" ht="16.5" spans="1:28">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row>
    <row r="191" ht="16.5" spans="1:28">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row>
    <row r="192" ht="16.5" spans="1:28">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row>
    <row r="193" ht="16.5" spans="1:28">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row>
    <row r="194" ht="16.5" spans="1:28">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row>
    <row r="195" ht="16.5" spans="1:28">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row>
    <row r="196" ht="16.5" spans="1:28">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row>
    <row r="197" ht="16.5" spans="1:28">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row>
    <row r="198" ht="16.5" spans="1:28">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row>
    <row r="199" ht="16.5" spans="1:28">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row>
    <row r="200" ht="16.5" spans="1:28">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row>
    <row r="201" ht="16.5" spans="1:28">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row>
    <row r="202" ht="16.5" spans="1:28">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row>
    <row r="203" ht="16.5" spans="1:28">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row>
    <row r="204" ht="16.5" spans="1:28">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row>
    <row r="205" ht="16.5" spans="1:28">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row>
    <row r="206" ht="16.5" spans="1:28">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row>
    <row r="207" ht="16.5" spans="1:28">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row>
    <row r="208" ht="16.5" spans="1:28">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c r="AA208" s="49"/>
      <c r="AB208" s="49"/>
    </row>
    <row r="209" ht="16.5" spans="1:28">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c r="AA209" s="49"/>
      <c r="AB209" s="49"/>
    </row>
    <row r="210" ht="16.5" spans="1:28">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c r="AA210" s="49"/>
      <c r="AB210" s="49"/>
    </row>
    <row r="211" ht="16.5" spans="1:28">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c r="AA211" s="49"/>
      <c r="AB211" s="49"/>
    </row>
    <row r="212" ht="16.5" spans="1:28">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c r="AA212" s="49"/>
      <c r="AB212" s="49"/>
    </row>
    <row r="213" ht="16.5" spans="1:28">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c r="AA213" s="49"/>
      <c r="AB213" s="49"/>
    </row>
    <row r="214" ht="16.5" spans="1:28">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c r="AA214" s="49"/>
      <c r="AB214" s="49"/>
    </row>
    <row r="215" ht="16.5" spans="1:28">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c r="AA215" s="49"/>
      <c r="AB215" s="49"/>
    </row>
    <row r="216" ht="16.5" spans="1:28">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c r="AA216" s="49"/>
      <c r="AB216" s="49"/>
    </row>
    <row r="217" ht="16.5" spans="1:28">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c r="AA217" s="49"/>
      <c r="AB217" s="49"/>
    </row>
    <row r="218" ht="16.5" spans="1:28">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c r="AA218" s="49"/>
      <c r="AB218" s="49"/>
    </row>
    <row r="219" ht="16.5" spans="1:28">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c r="AA219" s="49"/>
      <c r="AB219" s="49"/>
    </row>
    <row r="220" ht="16.5" spans="1:28">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c r="AA220" s="49"/>
      <c r="AB220" s="49"/>
    </row>
    <row r="221" ht="16.5" spans="1:28">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c r="AA221" s="49"/>
      <c r="AB221" s="49"/>
    </row>
    <row r="222" ht="16.5" spans="1:28">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c r="AA222" s="49"/>
      <c r="AB222" s="49"/>
    </row>
    <row r="223" ht="16.5" spans="1:28">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c r="AA223" s="49"/>
      <c r="AB223" s="49"/>
    </row>
    <row r="224" ht="16.5" spans="1:28">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c r="AA224" s="49"/>
      <c r="AB224" s="49"/>
    </row>
    <row r="225" ht="16.5" spans="1:28">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c r="AA225" s="49"/>
      <c r="AB225" s="49"/>
    </row>
    <row r="226" ht="16.5" spans="1:28">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c r="AA226" s="49"/>
      <c r="AB226" s="49"/>
    </row>
    <row r="227" ht="16.5" spans="1:28">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c r="AA227" s="49"/>
      <c r="AB227" s="49"/>
    </row>
    <row r="228" ht="16.5" spans="1:28">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c r="AA228" s="49"/>
      <c r="AB228" s="49"/>
    </row>
    <row r="229" ht="16.5" spans="1:28">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c r="AA229" s="49"/>
      <c r="AB229" s="49"/>
    </row>
    <row r="230" ht="16.5" spans="1:28">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c r="AA230" s="49"/>
      <c r="AB230" s="49"/>
    </row>
    <row r="231" ht="16.5" spans="1:28">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c r="AA231" s="49"/>
      <c r="AB231" s="49"/>
    </row>
    <row r="232" ht="16.5" spans="1:28">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c r="AA232" s="49"/>
      <c r="AB232" s="49"/>
    </row>
    <row r="233" ht="16.5" spans="1:28">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c r="AA233" s="49"/>
      <c r="AB233" s="49"/>
    </row>
    <row r="234" ht="16.5" spans="1:28">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c r="AA234" s="49"/>
      <c r="AB234" s="49"/>
    </row>
    <row r="235" ht="16.5" spans="1:28">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c r="AA235" s="49"/>
      <c r="AB235" s="49"/>
    </row>
    <row r="236" ht="16.5" spans="1:28">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c r="AA236" s="49"/>
      <c r="AB236" s="49"/>
    </row>
    <row r="237" ht="16.5" spans="1:28">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c r="AA237" s="49"/>
      <c r="AB237" s="49"/>
    </row>
    <row r="238" ht="16.5" spans="1:28">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c r="AA238" s="49"/>
      <c r="AB238" s="49"/>
    </row>
    <row r="239" ht="16.5" spans="1:28">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c r="AA239" s="49"/>
      <c r="AB239" s="49"/>
    </row>
    <row r="240" ht="16.5" spans="1:28">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c r="AA240" s="49"/>
      <c r="AB240" s="49"/>
    </row>
    <row r="241" ht="16.5" spans="1:28">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c r="AA241" s="49"/>
      <c r="AB241" s="49"/>
    </row>
    <row r="242" ht="16.5" spans="1:28">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row>
    <row r="243" ht="16.5" spans="1:28">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c r="AA243" s="49"/>
      <c r="AB243" s="49"/>
    </row>
    <row r="244" ht="16.5" spans="1:28">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c r="AA244" s="49"/>
      <c r="AB244" s="49"/>
    </row>
    <row r="245" ht="16.5" spans="1:28">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c r="AA245" s="49"/>
      <c r="AB245" s="49"/>
    </row>
    <row r="246" ht="16.5" spans="1:28">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c r="AA246" s="49"/>
      <c r="AB246" s="49"/>
    </row>
    <row r="247" ht="16.5" spans="1:28">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c r="AA247" s="49"/>
      <c r="AB247" s="49"/>
    </row>
    <row r="248" ht="16.5" spans="1:28">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c r="AA248" s="49"/>
      <c r="AB248" s="49"/>
    </row>
    <row r="249" ht="16.5" spans="1:28">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c r="AA249" s="49"/>
      <c r="AB249" s="49"/>
    </row>
    <row r="250" ht="16.5" spans="1:28">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c r="AA250" s="49"/>
      <c r="AB250" s="49"/>
    </row>
    <row r="251" ht="16.5" spans="1:28">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c r="AA251" s="49"/>
      <c r="AB251" s="49"/>
    </row>
    <row r="252" ht="16.5" spans="1:28">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c r="AA252" s="49"/>
      <c r="AB252" s="49"/>
    </row>
    <row r="253" ht="16.5" spans="1:28">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c r="AA253" s="49"/>
      <c r="AB253" s="49"/>
    </row>
    <row r="254" ht="16.5" spans="1:28">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c r="AA254" s="49"/>
      <c r="AB254" s="49"/>
    </row>
    <row r="255" ht="16.5" spans="1:28">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c r="AA255" s="49"/>
      <c r="AB255" s="49"/>
    </row>
    <row r="256" ht="16.5" spans="1:28">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c r="AA256" s="49"/>
      <c r="AB256" s="49"/>
    </row>
    <row r="257" ht="16.5" spans="1:28">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c r="AA257" s="49"/>
      <c r="AB257" s="49"/>
    </row>
    <row r="258" ht="16.5" spans="1:28">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c r="AA258" s="49"/>
      <c r="AB258" s="49"/>
    </row>
    <row r="259" ht="16.5" spans="1:28">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c r="AA259" s="49"/>
      <c r="AB259" s="49"/>
    </row>
    <row r="260" ht="16.5" spans="1:28">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c r="AA260" s="49"/>
      <c r="AB260" s="49"/>
    </row>
    <row r="261" ht="16.5" spans="1:28">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c r="AA261" s="49"/>
      <c r="AB261" s="49"/>
    </row>
    <row r="262" ht="16.5" spans="1:28">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c r="AA262" s="49"/>
      <c r="AB262" s="49"/>
    </row>
    <row r="263" ht="16.5" spans="1:28">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c r="AA263" s="49"/>
      <c r="AB263" s="49"/>
    </row>
    <row r="264" ht="16.5" spans="1:28">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c r="AA264" s="49"/>
      <c r="AB264" s="49"/>
    </row>
    <row r="265" ht="16.5" spans="1:28">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c r="AA265" s="49"/>
      <c r="AB265" s="49"/>
    </row>
    <row r="266" ht="16.5" spans="1:28">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c r="AA266" s="49"/>
      <c r="AB266" s="49"/>
    </row>
    <row r="267" ht="16.5" spans="1:28">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c r="AA267" s="49"/>
      <c r="AB267" s="49"/>
    </row>
    <row r="268" ht="16.5" spans="1:28">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c r="AA268" s="49"/>
      <c r="AB268" s="49"/>
    </row>
    <row r="269" ht="16.5" spans="1:28">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c r="AA269" s="49"/>
      <c r="AB269" s="49"/>
    </row>
    <row r="270" ht="16.5" spans="1:28">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c r="AA270" s="49"/>
      <c r="AB270" s="49"/>
    </row>
    <row r="271" ht="16.5" spans="1:28">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c r="AA271" s="49"/>
      <c r="AB271" s="49"/>
    </row>
    <row r="272" ht="16.5" spans="1:28">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c r="AA272" s="49"/>
      <c r="AB272" s="49"/>
    </row>
    <row r="273" ht="16.5" spans="1:28">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c r="AA273" s="49"/>
      <c r="AB273" s="49"/>
    </row>
    <row r="274" ht="16.5" spans="1:28">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c r="AA274" s="49"/>
      <c r="AB274" s="49"/>
    </row>
    <row r="275" ht="16.5" spans="1:28">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c r="AA275" s="49"/>
      <c r="AB275" s="49"/>
    </row>
    <row r="276" ht="16.5" spans="1:28">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c r="AA276" s="49"/>
      <c r="AB276" s="49"/>
    </row>
    <row r="277" ht="16.5" spans="1:28">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c r="AA277" s="49"/>
      <c r="AB277" s="49"/>
    </row>
    <row r="278" ht="16.5" spans="1:28">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c r="AA278" s="49"/>
      <c r="AB278" s="49"/>
    </row>
    <row r="279" ht="16.5" spans="1:28">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c r="AA279" s="49"/>
      <c r="AB279" s="49"/>
    </row>
    <row r="280" ht="16.5" spans="1:28">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c r="AA280" s="49"/>
      <c r="AB280" s="49"/>
    </row>
    <row r="281" ht="16.5" spans="1:28">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c r="AA281" s="49"/>
      <c r="AB281" s="49"/>
    </row>
    <row r="282" ht="16.5" spans="1:28">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c r="AA282" s="49"/>
      <c r="AB282" s="49"/>
    </row>
    <row r="283" ht="16.5" spans="1:28">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c r="AA283" s="49"/>
      <c r="AB283" s="49"/>
    </row>
    <row r="284" ht="16.5" spans="1:28">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c r="AA284" s="49"/>
      <c r="AB284" s="49"/>
    </row>
    <row r="285" ht="16.5" spans="1:28">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c r="AA285" s="49"/>
      <c r="AB285" s="49"/>
    </row>
    <row r="286" ht="16.5" spans="1:28">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c r="AA286" s="49"/>
      <c r="AB286" s="49"/>
    </row>
    <row r="287" ht="16.5" spans="1:28">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c r="AA287" s="49"/>
      <c r="AB287" s="49"/>
    </row>
    <row r="288" ht="16.5" spans="1:28">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c r="AA288" s="49"/>
      <c r="AB288" s="49"/>
    </row>
    <row r="289" ht="16.5" spans="1:28">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c r="AA289" s="49"/>
      <c r="AB289" s="49"/>
    </row>
    <row r="290" ht="16.5" spans="1:28">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c r="AA290" s="49"/>
      <c r="AB290" s="49"/>
    </row>
    <row r="291" ht="16.5" spans="1:28">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c r="AA291" s="49"/>
      <c r="AB291" s="49"/>
    </row>
    <row r="292" ht="16.5" spans="1:28">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c r="AA292" s="49"/>
      <c r="AB292" s="49"/>
    </row>
    <row r="293" ht="16.5" spans="1:28">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c r="AA293" s="49"/>
      <c r="AB293" s="49"/>
    </row>
    <row r="294" ht="16.5" spans="1:28">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c r="AA294" s="49"/>
      <c r="AB294" s="49"/>
    </row>
    <row r="295" ht="16.5" spans="1:28">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c r="AA295" s="49"/>
      <c r="AB295" s="49"/>
    </row>
    <row r="296" ht="16.5" spans="1:28">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c r="AA296" s="49"/>
      <c r="AB296" s="49"/>
    </row>
    <row r="297" ht="16.5" spans="1:28">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c r="AA297" s="49"/>
      <c r="AB297" s="49"/>
    </row>
    <row r="298" ht="16.5" spans="1:28">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c r="AA298" s="49"/>
      <c r="AB298" s="49"/>
    </row>
    <row r="299" ht="16.5" spans="1:28">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c r="AA299" s="49"/>
      <c r="AB299" s="49"/>
    </row>
    <row r="300" ht="16.5" spans="1:28">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c r="AA300" s="49"/>
      <c r="AB300" s="49"/>
    </row>
    <row r="301" ht="16.5" spans="1:28">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c r="AA301" s="49"/>
      <c r="AB301" s="49"/>
    </row>
    <row r="302" ht="16.5" spans="1:28">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c r="AA302" s="49"/>
      <c r="AB302" s="49"/>
    </row>
    <row r="303" ht="16.5" spans="1:28">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c r="AA303" s="49"/>
      <c r="AB303" s="49"/>
    </row>
    <row r="304" ht="16.5" spans="1:28">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c r="AA304" s="49"/>
      <c r="AB304" s="49"/>
    </row>
    <row r="305" ht="16.5" spans="1:28">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c r="AA305" s="49"/>
      <c r="AB305" s="49"/>
    </row>
    <row r="306" ht="16.5" spans="1:28">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c r="AA306" s="49"/>
      <c r="AB306" s="49"/>
    </row>
    <row r="307" ht="16.5" spans="1:28">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c r="AA307" s="49"/>
      <c r="AB307" s="49"/>
    </row>
    <row r="308" ht="16.5" spans="1:28">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c r="AA308" s="49"/>
      <c r="AB308" s="49"/>
    </row>
    <row r="309" ht="16.5" spans="1:28">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c r="AA309" s="49"/>
      <c r="AB309" s="49"/>
    </row>
    <row r="310" ht="16.5" spans="1:28">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c r="AA310" s="49"/>
      <c r="AB310" s="49"/>
    </row>
    <row r="311" ht="16.5" spans="1:28">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c r="AA311" s="49"/>
      <c r="AB311" s="49"/>
    </row>
    <row r="312" ht="16.5" spans="1:28">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c r="AA312" s="49"/>
      <c r="AB312" s="49"/>
    </row>
    <row r="313" ht="16.5" spans="1:28">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c r="AA313" s="49"/>
      <c r="AB313" s="49"/>
    </row>
    <row r="314" ht="16.5" spans="1:28">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c r="AA314" s="49"/>
      <c r="AB314" s="49"/>
    </row>
    <row r="315" ht="16.5" spans="1:28">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c r="AA315" s="49"/>
      <c r="AB315" s="49"/>
    </row>
    <row r="316" ht="16.5" spans="1:28">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c r="AA316" s="49"/>
      <c r="AB316" s="49"/>
    </row>
    <row r="317" ht="16.5" spans="1:28">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c r="AA317" s="49"/>
      <c r="AB317" s="49"/>
    </row>
    <row r="318" ht="16.5" spans="1:28">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c r="AA318" s="49"/>
      <c r="AB318" s="49"/>
    </row>
    <row r="319" ht="16.5" spans="1:28">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c r="AA319" s="49"/>
      <c r="AB319" s="49"/>
    </row>
    <row r="320" ht="16.5" spans="1:28">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c r="AA320" s="49"/>
      <c r="AB320" s="49"/>
    </row>
    <row r="321" ht="16.5" spans="1:28">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c r="AA321" s="49"/>
      <c r="AB321" s="49"/>
    </row>
    <row r="322" ht="16.5" spans="1:28">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c r="AA322" s="49"/>
      <c r="AB322" s="49"/>
    </row>
    <row r="323" ht="16.5" spans="1:28">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c r="AA323" s="49"/>
      <c r="AB323" s="49"/>
    </row>
    <row r="324" ht="16.5" spans="1:28">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c r="AA324" s="49"/>
      <c r="AB324" s="49"/>
    </row>
    <row r="325" ht="16.5" spans="1:28">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c r="AA325" s="49"/>
      <c r="AB325" s="49"/>
    </row>
    <row r="326" ht="16.5" spans="1:28">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c r="AA326" s="49"/>
      <c r="AB326" s="49"/>
    </row>
    <row r="327" ht="16.5" spans="1:28">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c r="AA327" s="49"/>
      <c r="AB327" s="49"/>
    </row>
    <row r="328" ht="16.5" spans="1:28">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c r="AA328" s="49"/>
      <c r="AB328" s="49"/>
    </row>
    <row r="329" ht="16.5" spans="1:28">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c r="AA329" s="49"/>
      <c r="AB329" s="49"/>
    </row>
    <row r="330" ht="16.5" spans="1:28">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c r="AA330" s="49"/>
      <c r="AB330" s="49"/>
    </row>
    <row r="331" ht="16.5" spans="1:28">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c r="AA331" s="49"/>
      <c r="AB331" s="49"/>
    </row>
    <row r="332" ht="16.5" spans="1:28">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c r="AA332" s="49"/>
      <c r="AB332" s="49"/>
    </row>
    <row r="333" ht="16.5" spans="1:28">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c r="AA333" s="49"/>
      <c r="AB333" s="49"/>
    </row>
    <row r="334" ht="16.5" spans="1:28">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c r="AA334" s="49"/>
      <c r="AB334" s="49"/>
    </row>
    <row r="335" ht="16.5" spans="1:28">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c r="AA335" s="49"/>
      <c r="AB335" s="49"/>
    </row>
    <row r="336" ht="16.5" spans="1:28">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c r="AA336" s="49"/>
      <c r="AB336" s="49"/>
    </row>
    <row r="337" ht="16.5" spans="1:28">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c r="AA337" s="49"/>
      <c r="AB337" s="49"/>
    </row>
    <row r="338" ht="16.5" spans="1:28">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c r="AA338" s="49"/>
      <c r="AB338" s="49"/>
    </row>
    <row r="339" ht="16.5" spans="1:28">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c r="AA339" s="49"/>
      <c r="AB339" s="49"/>
    </row>
    <row r="340" ht="16.5" spans="1:28">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c r="AA340" s="49"/>
      <c r="AB340" s="49"/>
    </row>
    <row r="341" ht="16.5" spans="1:28">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c r="AA341" s="49"/>
      <c r="AB341" s="49"/>
    </row>
    <row r="342" ht="16.5" spans="1:28">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c r="AA342" s="49"/>
      <c r="AB342" s="49"/>
    </row>
    <row r="343" ht="16.5" spans="1:28">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c r="AA343" s="49"/>
      <c r="AB343" s="49"/>
    </row>
    <row r="344" ht="16.5" spans="1:28">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c r="AA344" s="49"/>
      <c r="AB344" s="49"/>
    </row>
    <row r="345" ht="16.5" spans="1:28">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c r="AA345" s="49"/>
      <c r="AB345" s="49"/>
    </row>
    <row r="346" ht="16.5" spans="1:28">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c r="AA346" s="49"/>
      <c r="AB346" s="49"/>
    </row>
    <row r="347" ht="16.5" spans="1:28">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c r="AA347" s="49"/>
      <c r="AB347" s="49"/>
    </row>
    <row r="348" ht="16.5" spans="1:28">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c r="AA348" s="49"/>
      <c r="AB348" s="49"/>
    </row>
    <row r="349" ht="16.5" spans="1:28">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c r="AA349" s="49"/>
      <c r="AB349" s="49"/>
    </row>
    <row r="350" ht="16.5" spans="1:28">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c r="AA350" s="49"/>
      <c r="AB350" s="49"/>
    </row>
    <row r="351" ht="16.5" spans="1:28">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c r="AA351" s="49"/>
      <c r="AB351" s="49"/>
    </row>
    <row r="352" ht="16.5" spans="1:28">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c r="AA352" s="49"/>
      <c r="AB352" s="49"/>
    </row>
    <row r="353" ht="16.5" spans="1:28">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c r="AA353" s="49"/>
      <c r="AB353" s="49"/>
    </row>
    <row r="354" ht="16.5" spans="1:28">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c r="AA354" s="49"/>
      <c r="AB354" s="49"/>
    </row>
    <row r="355" ht="16.5" spans="1:28">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c r="AA355" s="49"/>
      <c r="AB355" s="49"/>
    </row>
    <row r="356" ht="16.5" spans="1:28">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c r="AA356" s="49"/>
      <c r="AB356" s="49"/>
    </row>
    <row r="357" ht="16.5" spans="1:28">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c r="AA357" s="49"/>
      <c r="AB357" s="49"/>
    </row>
    <row r="358" ht="16.5" spans="1:28">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c r="AA358" s="49"/>
      <c r="AB358" s="49"/>
    </row>
    <row r="359" ht="16.5" spans="1:28">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c r="AA359" s="49"/>
      <c r="AB359" s="49"/>
    </row>
    <row r="360" ht="16.5" spans="1:28">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c r="AA360" s="49"/>
      <c r="AB360" s="49"/>
    </row>
    <row r="361" ht="16.5" spans="1:28">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c r="AA361" s="49"/>
      <c r="AB361" s="49"/>
    </row>
    <row r="362" ht="16.5" spans="1:28">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c r="AA362" s="49"/>
      <c r="AB362" s="49"/>
    </row>
    <row r="363" ht="16.5" spans="1:28">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c r="AA363" s="49"/>
      <c r="AB363" s="49"/>
    </row>
    <row r="364" ht="16.5" spans="1:28">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c r="AA364" s="49"/>
      <c r="AB364" s="49"/>
    </row>
    <row r="365" ht="16.5" spans="1:28">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c r="AA365" s="49"/>
      <c r="AB365" s="49"/>
    </row>
    <row r="366" ht="16.5" spans="1:28">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c r="AA366" s="49"/>
      <c r="AB366" s="49"/>
    </row>
    <row r="367" ht="16.5" spans="1:28">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c r="AA367" s="49"/>
      <c r="AB367" s="49"/>
    </row>
    <row r="368" ht="16.5" spans="1:28">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c r="AA368" s="49"/>
      <c r="AB368" s="49"/>
    </row>
    <row r="369" ht="16.5" spans="1:28">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c r="AA369" s="49"/>
      <c r="AB369" s="49"/>
    </row>
    <row r="370" ht="16.5" spans="1:28">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c r="AA370" s="49"/>
      <c r="AB370" s="49"/>
    </row>
    <row r="371" ht="16.5" spans="1:28">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c r="AA371" s="49"/>
      <c r="AB371" s="49"/>
    </row>
    <row r="372" ht="16.5" spans="1:28">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c r="AA372" s="49"/>
      <c r="AB372" s="49"/>
    </row>
    <row r="373" ht="16.5" spans="1:28">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c r="AA373" s="49"/>
      <c r="AB373" s="49"/>
    </row>
    <row r="374" ht="16.5" spans="1:28">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c r="AA374" s="49"/>
      <c r="AB374" s="49"/>
    </row>
    <row r="375" ht="16.5" spans="1:28">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c r="AA375" s="49"/>
      <c r="AB375" s="49"/>
    </row>
    <row r="376" ht="16.5" spans="1:28">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c r="AA376" s="49"/>
      <c r="AB376" s="49"/>
    </row>
    <row r="377" ht="16.5" spans="1:28">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c r="AA377" s="49"/>
      <c r="AB377" s="49"/>
    </row>
    <row r="378" ht="16.5" spans="1:28">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c r="AA378" s="49"/>
      <c r="AB378" s="49"/>
    </row>
    <row r="379" ht="16.5" spans="1:28">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c r="AA379" s="49"/>
      <c r="AB379" s="49"/>
    </row>
    <row r="380" ht="16.5" spans="1:28">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c r="AA380" s="49"/>
      <c r="AB380" s="49"/>
    </row>
    <row r="381" ht="16.5" spans="1:28">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c r="AA381" s="49"/>
      <c r="AB381" s="49"/>
    </row>
    <row r="382" ht="16.5" spans="1:28">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c r="AA382" s="49"/>
      <c r="AB382" s="49"/>
    </row>
    <row r="383" ht="16.5" spans="1:28">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c r="AA383" s="49"/>
      <c r="AB383" s="49"/>
    </row>
    <row r="384" ht="16.5" spans="1:28">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c r="AA384" s="49"/>
      <c r="AB384" s="49"/>
    </row>
    <row r="385" ht="16.5" spans="1:28">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c r="AA385" s="49"/>
      <c r="AB385" s="49"/>
    </row>
    <row r="386" ht="16.5" spans="1:28">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c r="AA386" s="49"/>
      <c r="AB386" s="49"/>
    </row>
    <row r="387" ht="16.5" spans="1:28">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c r="AA387" s="49"/>
      <c r="AB387" s="49"/>
    </row>
    <row r="388" ht="16.5" spans="1:28">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c r="AA388" s="49"/>
      <c r="AB388" s="49"/>
    </row>
    <row r="389" ht="16.5" spans="1:28">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c r="AA389" s="49"/>
      <c r="AB389" s="49"/>
    </row>
    <row r="390" ht="16.5" spans="1:28">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c r="AA390" s="49"/>
      <c r="AB390" s="49"/>
    </row>
    <row r="391" ht="16.5" spans="1:28">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c r="AA391" s="49"/>
      <c r="AB391" s="49"/>
    </row>
    <row r="392" ht="16.5" spans="1:28">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c r="AA392" s="49"/>
      <c r="AB392" s="49"/>
    </row>
    <row r="393" ht="16.5" spans="1:28">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c r="AA393" s="49"/>
      <c r="AB393" s="49"/>
    </row>
    <row r="394" ht="16.5" spans="1:28">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c r="AA394" s="49"/>
      <c r="AB394" s="49"/>
    </row>
    <row r="395" ht="16.5" spans="1:28">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c r="AA395" s="49"/>
      <c r="AB395" s="49"/>
    </row>
    <row r="396" ht="16.5" spans="1:28">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c r="AA396" s="49"/>
      <c r="AB396" s="49"/>
    </row>
    <row r="397" ht="16.5" spans="1:28">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c r="AA397" s="49"/>
      <c r="AB397" s="49"/>
    </row>
    <row r="398" ht="16.5" spans="1:28">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c r="AA398" s="49"/>
      <c r="AB398" s="49"/>
    </row>
    <row r="399" ht="16.5" spans="1:28">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c r="AA399" s="49"/>
      <c r="AB399" s="49"/>
    </row>
    <row r="400" ht="16.5" spans="1:28">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c r="AA400" s="49"/>
      <c r="AB400" s="49"/>
    </row>
    <row r="401" ht="16.5" spans="1:28">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c r="AA401" s="49"/>
      <c r="AB401" s="49"/>
    </row>
    <row r="402" ht="16.5" spans="1:28">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c r="AA402" s="49"/>
      <c r="AB402" s="49"/>
    </row>
    <row r="403" ht="16.5" spans="1:28">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c r="AA403" s="49"/>
      <c r="AB403" s="49"/>
    </row>
    <row r="404" ht="16.5" spans="1:28">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c r="AA404" s="49"/>
      <c r="AB404" s="49"/>
    </row>
    <row r="405" ht="16.5" spans="1:28">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c r="AA405" s="49"/>
      <c r="AB405" s="49"/>
    </row>
    <row r="406" ht="16.5" spans="1:28">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c r="AA406" s="49"/>
      <c r="AB406" s="49"/>
    </row>
    <row r="407" ht="16.5" spans="1:28">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c r="AA407" s="49"/>
      <c r="AB407" s="49"/>
    </row>
    <row r="408" ht="16.5" spans="1:28">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c r="AA408" s="49"/>
      <c r="AB408" s="49"/>
    </row>
    <row r="409" ht="16.5" spans="1:28">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c r="AA409" s="49"/>
      <c r="AB409" s="49"/>
    </row>
    <row r="410" ht="16.5" spans="1:28">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c r="AA410" s="49"/>
      <c r="AB410" s="49"/>
    </row>
    <row r="411" ht="16.5" spans="1:28">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c r="AA411" s="49"/>
      <c r="AB411" s="49"/>
    </row>
    <row r="412" ht="16.5" spans="1:28">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c r="AA412" s="49"/>
      <c r="AB412" s="49"/>
    </row>
    <row r="413" ht="16.5" spans="1:28">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c r="AA413" s="49"/>
      <c r="AB413" s="49"/>
    </row>
    <row r="414" ht="16.5" spans="1:28">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c r="AA414" s="49"/>
      <c r="AB414" s="49"/>
    </row>
    <row r="415" ht="16.5" spans="1:28">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c r="AA415" s="49"/>
      <c r="AB415" s="49"/>
    </row>
    <row r="416" ht="16.5" spans="1:28">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c r="AA416" s="49"/>
      <c r="AB416" s="49"/>
    </row>
    <row r="417" ht="16.5" spans="1:28">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c r="AA417" s="49"/>
      <c r="AB417" s="49"/>
    </row>
    <row r="418" ht="16.5" spans="1:28">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c r="AA418" s="49"/>
      <c r="AB418" s="49"/>
    </row>
    <row r="419" ht="16.5" spans="1:28">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c r="AA419" s="49"/>
      <c r="AB419" s="49"/>
    </row>
    <row r="420" ht="16.5" spans="1:28">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c r="AA420" s="49"/>
      <c r="AB420" s="49"/>
    </row>
    <row r="421" ht="16.5" spans="1:28">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c r="AA421" s="49"/>
      <c r="AB421" s="49"/>
    </row>
    <row r="422" ht="16.5" spans="1:28">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c r="AA422" s="49"/>
      <c r="AB422" s="49"/>
    </row>
    <row r="423" ht="16.5" spans="1:28">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c r="AA423" s="49"/>
      <c r="AB423" s="49"/>
    </row>
    <row r="424" ht="16.5" spans="1:28">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c r="AA424" s="49"/>
      <c r="AB424" s="49"/>
    </row>
    <row r="425" ht="16.5" spans="1:28">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c r="AA425" s="49"/>
      <c r="AB425" s="49"/>
    </row>
    <row r="426" ht="16.5" spans="1:28">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c r="AA426" s="49"/>
      <c r="AB426" s="49"/>
    </row>
    <row r="427" ht="16.5" spans="1:28">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c r="AA427" s="49"/>
      <c r="AB427" s="49"/>
    </row>
    <row r="428" ht="16.5" spans="1:28">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c r="AA428" s="49"/>
      <c r="AB428" s="49"/>
    </row>
    <row r="429" ht="16.5" spans="1:28">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c r="AA429" s="49"/>
      <c r="AB429" s="49"/>
    </row>
    <row r="430" ht="16.5" spans="1:28">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c r="AA430" s="49"/>
      <c r="AB430" s="49"/>
    </row>
    <row r="431" ht="16.5" spans="1:28">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c r="AA431" s="49"/>
      <c r="AB431" s="49"/>
    </row>
    <row r="432" ht="16.5" spans="1:28">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c r="AA432" s="49"/>
      <c r="AB432" s="49"/>
    </row>
    <row r="433" ht="16.5" spans="1:28">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c r="AA433" s="49"/>
      <c r="AB433" s="49"/>
    </row>
    <row r="434" ht="16.5" spans="1:28">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c r="AA434" s="49"/>
      <c r="AB434" s="49"/>
    </row>
    <row r="435" ht="16.5" spans="1:28">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c r="AA435" s="49"/>
      <c r="AB435" s="49"/>
    </row>
    <row r="436" ht="16.5" spans="1:28">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c r="AA436" s="49"/>
      <c r="AB436" s="49"/>
    </row>
    <row r="437" ht="16.5" spans="1:28">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c r="AA437" s="49"/>
      <c r="AB437" s="49"/>
    </row>
    <row r="438" ht="16.5" spans="1:28">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c r="AA438" s="49"/>
      <c r="AB438" s="49"/>
    </row>
    <row r="439" ht="16.5" spans="1:28">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c r="AA439" s="49"/>
      <c r="AB439" s="49"/>
    </row>
    <row r="440" ht="16.5" spans="1:28">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c r="AA440" s="49"/>
      <c r="AB440" s="49"/>
    </row>
    <row r="441" ht="16.5" spans="1:28">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c r="AA441" s="49"/>
      <c r="AB441" s="49"/>
    </row>
    <row r="442" ht="16.5" spans="1:28">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c r="AA442" s="49"/>
      <c r="AB442" s="49"/>
    </row>
    <row r="443" ht="16.5" spans="1:28">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c r="AA443" s="49"/>
      <c r="AB443" s="49"/>
    </row>
    <row r="444" ht="16.5" spans="1:28">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c r="AA444" s="49"/>
      <c r="AB444" s="49"/>
    </row>
    <row r="445" ht="16.5" spans="1:28">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c r="AA445" s="49"/>
      <c r="AB445" s="49"/>
    </row>
    <row r="446" ht="16.5" spans="1:28">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c r="AA446" s="49"/>
      <c r="AB446" s="49"/>
    </row>
    <row r="447" ht="16.5" spans="1:28">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c r="AA447" s="49"/>
      <c r="AB447" s="49"/>
    </row>
    <row r="448" ht="16.5" spans="1:28">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c r="AA448" s="49"/>
      <c r="AB448" s="49"/>
    </row>
    <row r="449" ht="16.5" spans="1:28">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c r="AA449" s="49"/>
      <c r="AB449" s="49"/>
    </row>
    <row r="450" ht="16.5" spans="1:28">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c r="AA450" s="49"/>
      <c r="AB450" s="49"/>
    </row>
    <row r="451" ht="16.5" spans="1:28">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c r="AA451" s="49"/>
      <c r="AB451" s="49"/>
    </row>
    <row r="452" ht="16.5" spans="1:28">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c r="AA452" s="49"/>
      <c r="AB452" s="49"/>
    </row>
    <row r="453" ht="16.5" spans="1:28">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c r="AA453" s="49"/>
      <c r="AB453" s="49"/>
    </row>
    <row r="454" ht="16.5" spans="1:28">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c r="AA454" s="49"/>
      <c r="AB454" s="49"/>
    </row>
    <row r="455" ht="16.5" spans="1:28">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c r="AA455" s="49"/>
      <c r="AB455" s="49"/>
    </row>
    <row r="456" ht="16.5" spans="1:28">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c r="AA456" s="49"/>
      <c r="AB456" s="49"/>
    </row>
    <row r="457" ht="16.5" spans="1:28">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c r="AA457" s="49"/>
      <c r="AB457" s="49"/>
    </row>
    <row r="458" ht="16.5" spans="1:28">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c r="AA458" s="49"/>
      <c r="AB458" s="49"/>
    </row>
    <row r="459" ht="16.5" spans="1:28">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c r="AA459" s="49"/>
      <c r="AB459" s="49"/>
    </row>
    <row r="460" ht="16.5" spans="1:28">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c r="AA460" s="49"/>
      <c r="AB460" s="49"/>
    </row>
    <row r="461" ht="16.5" spans="1:28">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c r="AA461" s="49"/>
      <c r="AB461" s="49"/>
    </row>
    <row r="462" ht="16.5" spans="1:28">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c r="AA462" s="49"/>
      <c r="AB462" s="49"/>
    </row>
    <row r="463" ht="16.5" spans="1:28">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c r="AA463" s="49"/>
      <c r="AB463" s="49"/>
    </row>
    <row r="464" ht="16.5" spans="1:28">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c r="AA464" s="49"/>
      <c r="AB464" s="49"/>
    </row>
    <row r="465" ht="16.5" spans="1:28">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c r="AA465" s="49"/>
      <c r="AB465" s="49"/>
    </row>
    <row r="466" ht="16.5" spans="1:28">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c r="AA466" s="49"/>
      <c r="AB466" s="49"/>
    </row>
    <row r="467" ht="16.5" spans="1:28">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c r="AA467" s="49"/>
      <c r="AB467" s="49"/>
    </row>
    <row r="468" ht="16.5" spans="1:28">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c r="AA468" s="49"/>
      <c r="AB468" s="49"/>
    </row>
    <row r="469" ht="16.5" spans="1:28">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c r="AA469" s="49"/>
      <c r="AB469" s="49"/>
    </row>
    <row r="470" ht="16.5" spans="1:28">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c r="AA470" s="49"/>
      <c r="AB470" s="49"/>
    </row>
    <row r="471" ht="16.5" spans="1:28">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c r="AA471" s="49"/>
      <c r="AB471" s="49"/>
    </row>
    <row r="472" ht="16.5" spans="1:28">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c r="AA472" s="49"/>
      <c r="AB472" s="49"/>
    </row>
    <row r="473" ht="16.5" spans="1:28">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c r="AA473" s="49"/>
      <c r="AB473" s="49"/>
    </row>
    <row r="474" ht="16.5" spans="1:28">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c r="AA474" s="49"/>
      <c r="AB474" s="49"/>
    </row>
    <row r="475" ht="16.5" spans="1:28">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c r="AA475" s="49"/>
      <c r="AB475" s="49"/>
    </row>
    <row r="476" ht="16.5" spans="1:28">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c r="AA476" s="49"/>
      <c r="AB476" s="49"/>
    </row>
    <row r="477" ht="16.5" spans="1:28">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c r="AA477" s="49"/>
      <c r="AB477" s="49"/>
    </row>
    <row r="478" ht="16.5" spans="1:28">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c r="AA478" s="49"/>
      <c r="AB478" s="49"/>
    </row>
    <row r="479" ht="16.5" spans="1:28">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c r="AA479" s="49"/>
      <c r="AB479" s="49"/>
    </row>
    <row r="480" ht="16.5" spans="1:28">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c r="AA480" s="49"/>
      <c r="AB480" s="49"/>
    </row>
    <row r="481" ht="16.5" spans="1:28">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c r="AA481" s="49"/>
      <c r="AB481" s="49"/>
    </row>
    <row r="482" ht="16.5" spans="1:28">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c r="AA482" s="49"/>
      <c r="AB482" s="49"/>
    </row>
    <row r="483" ht="16.5" spans="1:28">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c r="AA483" s="49"/>
      <c r="AB483" s="49"/>
    </row>
    <row r="484" ht="16.5" spans="1:28">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c r="AA484" s="49"/>
      <c r="AB484" s="49"/>
    </row>
    <row r="485" ht="16.5" spans="1:28">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c r="AA485" s="49"/>
      <c r="AB485" s="49"/>
    </row>
    <row r="486" ht="16.5" spans="1:28">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c r="AA486" s="49"/>
      <c r="AB486" s="49"/>
    </row>
    <row r="487" ht="16.5" spans="1:28">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c r="AA487" s="49"/>
      <c r="AB487" s="49"/>
    </row>
    <row r="488" ht="16.5" spans="1:28">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c r="AA488" s="49"/>
      <c r="AB488" s="49"/>
    </row>
    <row r="489" ht="16.5" spans="1:28">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c r="AA489" s="49"/>
      <c r="AB489" s="49"/>
    </row>
    <row r="490" ht="16.5" spans="1:28">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c r="AA490" s="49"/>
      <c r="AB490" s="49"/>
    </row>
    <row r="491" ht="16.5" spans="1:28">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c r="AA491" s="49"/>
      <c r="AB491" s="49"/>
    </row>
    <row r="492" ht="16.5" spans="1:28">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c r="AA492" s="49"/>
      <c r="AB492" s="49"/>
    </row>
    <row r="493" ht="16.5" spans="1:28">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c r="AA493" s="49"/>
      <c r="AB493" s="49"/>
    </row>
    <row r="494" ht="16.5" spans="1:28">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c r="AA494" s="49"/>
      <c r="AB494" s="49"/>
    </row>
    <row r="495" ht="16.5" spans="1:28">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c r="AA495" s="49"/>
      <c r="AB495" s="49"/>
    </row>
    <row r="496" ht="16.5" spans="1:28">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c r="AA496" s="49"/>
      <c r="AB496" s="49"/>
    </row>
    <row r="497" ht="16.5" spans="1:28">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c r="AA497" s="49"/>
      <c r="AB497" s="49"/>
    </row>
    <row r="498" ht="16.5" spans="1:28">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c r="AA498" s="49"/>
      <c r="AB498" s="49"/>
    </row>
    <row r="499" ht="16.5" spans="1:28">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c r="AA499" s="49"/>
      <c r="AB499" s="49"/>
    </row>
    <row r="500" ht="16.5" spans="1:28">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c r="AA500" s="49"/>
      <c r="AB500" s="49"/>
    </row>
    <row r="501" ht="16.5" spans="1:28">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c r="AA501" s="49"/>
      <c r="AB501" s="49"/>
    </row>
    <row r="502" ht="16.5" spans="1:28">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c r="AA502" s="49"/>
      <c r="AB502" s="49"/>
    </row>
    <row r="503" ht="16.5" spans="1:28">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c r="AA503" s="49"/>
      <c r="AB503" s="49"/>
    </row>
    <row r="504" ht="16.5" spans="1:28">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c r="AA504" s="49"/>
      <c r="AB504" s="49"/>
    </row>
    <row r="505" ht="16.5" spans="1:28">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c r="AA505" s="49"/>
      <c r="AB505" s="49"/>
    </row>
    <row r="506" ht="16.5" spans="1:28">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c r="AA506" s="49"/>
      <c r="AB506" s="49"/>
    </row>
    <row r="507" ht="16.5" spans="1:28">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c r="AA507" s="49"/>
      <c r="AB507" s="49"/>
    </row>
    <row r="508" ht="16.5" spans="1:28">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c r="AA508" s="49"/>
      <c r="AB508" s="49"/>
    </row>
    <row r="509" ht="16.5" spans="1:28">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c r="AA509" s="49"/>
      <c r="AB509" s="49"/>
    </row>
    <row r="510" ht="16.5" spans="1:28">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c r="AA510" s="49"/>
      <c r="AB510" s="49"/>
    </row>
    <row r="511" ht="16.5" spans="1:28">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c r="AA511" s="49"/>
      <c r="AB511" s="49"/>
    </row>
    <row r="512" ht="16.5" spans="1:28">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c r="AA512" s="49"/>
      <c r="AB512" s="49"/>
    </row>
    <row r="513" ht="16.5" spans="1:28">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c r="AA513" s="49"/>
      <c r="AB513" s="49"/>
    </row>
    <row r="514" ht="16.5" spans="1:28">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c r="AA514" s="49"/>
      <c r="AB514" s="49"/>
    </row>
    <row r="515" ht="16.5" spans="1:28">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c r="AA515" s="49"/>
      <c r="AB515" s="49"/>
    </row>
    <row r="516" ht="16.5" spans="1:28">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c r="AA516" s="49"/>
      <c r="AB516" s="49"/>
    </row>
    <row r="517" ht="16.5" spans="1:28">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c r="AA517" s="49"/>
      <c r="AB517" s="49"/>
    </row>
    <row r="518" ht="16.5" spans="1:28">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c r="AA518" s="49"/>
      <c r="AB518" s="49"/>
    </row>
    <row r="519" ht="16.5" spans="1:28">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c r="AA519" s="49"/>
      <c r="AB519" s="49"/>
    </row>
    <row r="520" ht="16.5" spans="1:28">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c r="AA520" s="49"/>
      <c r="AB520" s="49"/>
    </row>
    <row r="521" ht="16.5" spans="1:28">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c r="AA521" s="49"/>
      <c r="AB521" s="49"/>
    </row>
    <row r="522" ht="16.5" spans="1:28">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c r="AA522" s="49"/>
      <c r="AB522" s="49"/>
    </row>
    <row r="523" ht="16.5" spans="1:28">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c r="AA523" s="49"/>
      <c r="AB523" s="49"/>
    </row>
    <row r="524" ht="16.5" spans="1:28">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c r="AA524" s="49"/>
      <c r="AB524" s="49"/>
    </row>
    <row r="525" ht="16.5" spans="1:28">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c r="AA525" s="49"/>
      <c r="AB525" s="49"/>
    </row>
    <row r="526" ht="16.5" spans="1:28">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c r="AA526" s="49"/>
      <c r="AB526" s="49"/>
    </row>
    <row r="527" ht="16.5" spans="1:28">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c r="AA527" s="49"/>
      <c r="AB527" s="49"/>
    </row>
    <row r="528" ht="16.5" spans="1:28">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c r="AA528" s="49"/>
      <c r="AB528" s="49"/>
    </row>
    <row r="529" ht="16.5" spans="1:28">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c r="AA529" s="49"/>
      <c r="AB529" s="49"/>
    </row>
    <row r="530" ht="16.5" spans="1:28">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c r="AA530" s="49"/>
      <c r="AB530" s="49"/>
    </row>
    <row r="531" ht="16.5" spans="1:28">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c r="AA531" s="49"/>
      <c r="AB531" s="49"/>
    </row>
    <row r="532" ht="16.5" spans="1:28">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c r="AA532" s="49"/>
      <c r="AB532" s="49"/>
    </row>
    <row r="533" ht="16.5" spans="1:28">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c r="AA533" s="49"/>
      <c r="AB533" s="49"/>
    </row>
    <row r="534" ht="16.5" spans="1:28">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c r="AA534" s="49"/>
      <c r="AB534" s="49"/>
    </row>
    <row r="535" ht="16.5" spans="1:28">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c r="AA535" s="49"/>
      <c r="AB535" s="49"/>
    </row>
    <row r="536" ht="16.5" spans="1:28">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c r="AA536" s="49"/>
      <c r="AB536" s="49"/>
    </row>
    <row r="537" ht="16.5" spans="1:28">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c r="AA537" s="49"/>
      <c r="AB537" s="49"/>
    </row>
    <row r="538" ht="16.5" spans="1:28">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c r="AA538" s="49"/>
      <c r="AB538" s="49"/>
    </row>
    <row r="539" ht="16.5" spans="1:28">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c r="AA539" s="49"/>
      <c r="AB539" s="49"/>
    </row>
    <row r="540" ht="16.5" spans="1:28">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c r="AA540" s="49"/>
      <c r="AB540" s="49"/>
    </row>
    <row r="541" ht="16.5" spans="1:28">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c r="AA541" s="49"/>
      <c r="AB541" s="49"/>
    </row>
    <row r="542" ht="16.5" spans="1:28">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c r="AA542" s="49"/>
      <c r="AB542" s="49"/>
    </row>
    <row r="543" ht="16.5" spans="1:28">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c r="AA543" s="49"/>
      <c r="AB543" s="49"/>
    </row>
    <row r="544" ht="16.5" spans="1:28">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c r="AA544" s="49"/>
      <c r="AB544" s="49"/>
    </row>
    <row r="545" ht="16.5" spans="1:28">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c r="AA545" s="49"/>
      <c r="AB545" s="49"/>
    </row>
    <row r="546" ht="16.5" spans="1:28">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c r="AA546" s="49"/>
      <c r="AB546" s="49"/>
    </row>
    <row r="547" ht="16.5" spans="1:28">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c r="AA547" s="49"/>
      <c r="AB547" s="49"/>
    </row>
    <row r="548" ht="16.5" spans="1:28">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c r="AA548" s="49"/>
      <c r="AB548" s="49"/>
    </row>
    <row r="549" ht="16.5" spans="1:28">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c r="AA549" s="49"/>
      <c r="AB549" s="49"/>
    </row>
    <row r="550" ht="16.5" spans="1:28">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c r="AA550" s="49"/>
      <c r="AB550" s="49"/>
    </row>
    <row r="551" ht="16.5" spans="1:28">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c r="AA551" s="49"/>
      <c r="AB551" s="49"/>
    </row>
    <row r="552" ht="16.5" spans="1:28">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c r="AA552" s="49"/>
      <c r="AB552" s="49"/>
    </row>
    <row r="553" ht="16.5" spans="1:28">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c r="AA553" s="49"/>
      <c r="AB553" s="49"/>
    </row>
    <row r="554" ht="16.5" spans="1:28">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c r="AA554" s="49"/>
      <c r="AB554" s="49"/>
    </row>
    <row r="555" ht="16.5" spans="1:28">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c r="AA555" s="49"/>
      <c r="AB555" s="49"/>
    </row>
    <row r="556" ht="16.5" spans="1:28">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c r="AA556" s="49"/>
      <c r="AB556" s="49"/>
    </row>
    <row r="557" ht="16.5" spans="1:28">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c r="AA557" s="49"/>
      <c r="AB557" s="49"/>
    </row>
    <row r="558" ht="16.5" spans="1:28">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c r="AA558" s="49"/>
      <c r="AB558" s="49"/>
    </row>
    <row r="559" ht="16.5" spans="1:28">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c r="AA559" s="49"/>
      <c r="AB559" s="49"/>
    </row>
    <row r="560" ht="16.5" spans="1:28">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c r="AA560" s="49"/>
      <c r="AB560" s="49"/>
    </row>
    <row r="561" ht="16.5" spans="1:28">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c r="AA561" s="49"/>
      <c r="AB561" s="49"/>
    </row>
    <row r="562" ht="16.5" spans="1:28">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c r="AA562" s="49"/>
      <c r="AB562" s="49"/>
    </row>
    <row r="563" ht="16.5" spans="1:28">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c r="AA563" s="49"/>
      <c r="AB563" s="49"/>
    </row>
    <row r="564" ht="16.5" spans="1:28">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c r="AA564" s="49"/>
      <c r="AB564" s="49"/>
    </row>
    <row r="565" ht="16.5" spans="1:28">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c r="AA565" s="49"/>
      <c r="AB565" s="49"/>
    </row>
    <row r="566" ht="16.5" spans="1:28">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c r="AA566" s="49"/>
      <c r="AB566" s="49"/>
    </row>
    <row r="567" ht="16.5" spans="1:28">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c r="AA567" s="49"/>
      <c r="AB567" s="49"/>
    </row>
    <row r="568" ht="16.5" spans="1:28">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c r="AA568" s="49"/>
      <c r="AB568" s="49"/>
    </row>
    <row r="569" ht="16.5" spans="1:28">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c r="AA569" s="49"/>
      <c r="AB569" s="49"/>
    </row>
    <row r="570" ht="16.5" spans="1:28">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c r="AA570" s="49"/>
      <c r="AB570" s="49"/>
    </row>
    <row r="571" ht="16.5" spans="1:28">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c r="AA571" s="49"/>
      <c r="AB571" s="49"/>
    </row>
    <row r="572" ht="16.5" spans="1:28">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c r="AA572" s="49"/>
      <c r="AB572" s="49"/>
    </row>
    <row r="573" ht="16.5" spans="1:28">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c r="AA573" s="49"/>
      <c r="AB573" s="49"/>
    </row>
    <row r="574" ht="16.5" spans="1:28">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c r="AA574" s="49"/>
      <c r="AB574" s="49"/>
    </row>
    <row r="575" ht="16.5" spans="1:28">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c r="AA575" s="49"/>
      <c r="AB575" s="49"/>
    </row>
    <row r="576" ht="16.5" spans="1:28">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c r="AA576" s="49"/>
      <c r="AB576" s="49"/>
    </row>
    <row r="577" ht="16.5" spans="1:28">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c r="AA577" s="49"/>
      <c r="AB577" s="49"/>
    </row>
    <row r="578" ht="16.5" spans="1:28">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c r="AA578" s="49"/>
      <c r="AB578" s="49"/>
    </row>
    <row r="579" ht="16.5" spans="1:28">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c r="AA579" s="49"/>
      <c r="AB579" s="49"/>
    </row>
    <row r="580" ht="16.5" spans="1:28">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c r="AA580" s="49"/>
      <c r="AB580" s="49"/>
    </row>
    <row r="581" ht="16.5" spans="1:28">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c r="AA581" s="49"/>
      <c r="AB581" s="49"/>
    </row>
    <row r="582" ht="16.5" spans="1:28">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c r="AA582" s="49"/>
      <c r="AB582" s="49"/>
    </row>
    <row r="583" ht="16.5" spans="1:28">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c r="AA583" s="49"/>
      <c r="AB583" s="49"/>
    </row>
    <row r="584" ht="16.5" spans="1:28">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c r="AA584" s="49"/>
      <c r="AB584" s="49"/>
    </row>
    <row r="585" ht="16.5" spans="1:28">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c r="AA585" s="49"/>
      <c r="AB585" s="49"/>
    </row>
    <row r="586" ht="16.5" spans="1:28">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c r="AA586" s="49"/>
      <c r="AB586" s="49"/>
    </row>
    <row r="587" ht="16.5" spans="1:28">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c r="AA587" s="49"/>
      <c r="AB587" s="49"/>
    </row>
    <row r="588" ht="16.5" spans="1:28">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c r="AA588" s="49"/>
      <c r="AB588" s="49"/>
    </row>
    <row r="589" ht="16.5" spans="1:28">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c r="AA589" s="49"/>
      <c r="AB589" s="49"/>
    </row>
    <row r="590" ht="16.5" spans="1:28">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c r="AA590" s="49"/>
      <c r="AB590" s="49"/>
    </row>
    <row r="591" ht="16.5" spans="1:28">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c r="AA591" s="49"/>
      <c r="AB591" s="49"/>
    </row>
    <row r="592" ht="16.5" spans="1:28">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c r="AA592" s="49"/>
      <c r="AB592" s="49"/>
    </row>
    <row r="593" ht="16.5" spans="1:28">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c r="AA593" s="49"/>
      <c r="AB593" s="49"/>
    </row>
    <row r="594" ht="16.5" spans="1:28">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c r="AA594" s="49"/>
      <c r="AB594" s="49"/>
    </row>
    <row r="595" ht="16.5" spans="1:28">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c r="AA595" s="49"/>
      <c r="AB595" s="49"/>
    </row>
    <row r="596" ht="16.5" spans="1:28">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c r="AA596" s="49"/>
      <c r="AB596" s="49"/>
    </row>
    <row r="597" ht="16.5" spans="1:28">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c r="AA597" s="49"/>
      <c r="AB597" s="49"/>
    </row>
    <row r="598" ht="16.5" spans="1:28">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c r="AA598" s="49"/>
      <c r="AB598" s="49"/>
    </row>
    <row r="599" ht="16.5" spans="1:28">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c r="AA599" s="49"/>
      <c r="AB599" s="49"/>
    </row>
    <row r="600" ht="16.5" spans="1:28">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c r="AA600" s="49"/>
      <c r="AB600" s="49"/>
    </row>
    <row r="601" ht="16.5" spans="1:28">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c r="AA601" s="49"/>
      <c r="AB601" s="49"/>
    </row>
    <row r="602" ht="16.5" spans="1:28">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c r="AA602" s="49"/>
      <c r="AB602" s="49"/>
    </row>
    <row r="603" ht="16.5" spans="1:28">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c r="AA603" s="49"/>
      <c r="AB603" s="49"/>
    </row>
    <row r="604" ht="16.5" spans="1:28">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c r="AA604" s="49"/>
      <c r="AB604" s="49"/>
    </row>
    <row r="605" ht="16.5" spans="1:28">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c r="AA605" s="49"/>
      <c r="AB605" s="49"/>
    </row>
    <row r="606" ht="16.5" spans="1:28">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c r="AA606" s="49"/>
      <c r="AB606" s="49"/>
    </row>
    <row r="607" ht="16.5" spans="1:28">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c r="AA607" s="49"/>
      <c r="AB607" s="49"/>
    </row>
    <row r="608" ht="16.5" spans="1:28">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c r="AA608" s="49"/>
      <c r="AB608" s="49"/>
    </row>
    <row r="609" ht="16.5" spans="1:28">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c r="AA609" s="49"/>
      <c r="AB609" s="49"/>
    </row>
    <row r="610" ht="16.5" spans="1:28">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c r="AA610" s="49"/>
      <c r="AB610" s="49"/>
    </row>
    <row r="611" ht="16.5" spans="1:28">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c r="AA611" s="49"/>
      <c r="AB611" s="49"/>
    </row>
    <row r="612" ht="16.5" spans="1:28">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c r="AA612" s="49"/>
      <c r="AB612" s="49"/>
    </row>
    <row r="613" ht="16.5" spans="1:28">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c r="AA613" s="49"/>
      <c r="AB613" s="49"/>
    </row>
    <row r="614" ht="16.5" spans="1:28">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c r="AA614" s="49"/>
      <c r="AB614" s="49"/>
    </row>
    <row r="615" ht="16.5" spans="1:28">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c r="AA615" s="49"/>
      <c r="AB615" s="49"/>
    </row>
    <row r="616" ht="16.5" spans="1:28">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c r="AA616" s="49"/>
      <c r="AB616" s="49"/>
    </row>
    <row r="617" ht="16.5" spans="1:28">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c r="AA617" s="49"/>
      <c r="AB617" s="49"/>
    </row>
    <row r="618" ht="16.5" spans="1:28">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c r="AA618" s="49"/>
      <c r="AB618" s="49"/>
    </row>
    <row r="619" ht="16.5" spans="1:28">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c r="AA619" s="49"/>
      <c r="AB619" s="49"/>
    </row>
    <row r="620" ht="16.5" spans="1:28">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c r="AA620" s="49"/>
      <c r="AB620" s="49"/>
    </row>
    <row r="621" ht="16.5" spans="1:28">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c r="AA621" s="49"/>
      <c r="AB621" s="49"/>
    </row>
    <row r="622" ht="16.5" spans="1:28">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c r="AA622" s="49"/>
      <c r="AB622" s="49"/>
    </row>
    <row r="623" ht="16.5" spans="1:28">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c r="AA623" s="49"/>
      <c r="AB623" s="49"/>
    </row>
    <row r="624" ht="16.5" spans="1:28">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c r="AA624" s="49"/>
      <c r="AB624" s="49"/>
    </row>
    <row r="625" ht="16.5" spans="1:28">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c r="AA625" s="49"/>
      <c r="AB625" s="49"/>
    </row>
    <row r="626" ht="16.5" spans="1:28">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c r="AA626" s="49"/>
      <c r="AB626" s="49"/>
    </row>
    <row r="627" ht="16.5" spans="1:28">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c r="AA627" s="49"/>
      <c r="AB627" s="49"/>
    </row>
    <row r="628" ht="16.5" spans="1:28">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c r="AA628" s="49"/>
      <c r="AB628" s="49"/>
    </row>
    <row r="629" ht="16.5" spans="1:28">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c r="AA629" s="49"/>
      <c r="AB629" s="49"/>
    </row>
    <row r="630" ht="16.5" spans="1:28">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c r="AA630" s="49"/>
      <c r="AB630" s="49"/>
    </row>
    <row r="631" ht="16.5" spans="1:28">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c r="AA631" s="49"/>
      <c r="AB631" s="49"/>
    </row>
    <row r="632" ht="16.5" spans="1:28">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c r="AA632" s="49"/>
      <c r="AB632" s="49"/>
    </row>
    <row r="633" ht="16.5" spans="1:28">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c r="AA633" s="49"/>
      <c r="AB633" s="49"/>
    </row>
    <row r="634" ht="16.5" spans="1:28">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c r="AA634" s="49"/>
      <c r="AB634" s="49"/>
    </row>
    <row r="635" ht="16.5" spans="1:28">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c r="AA635" s="49"/>
      <c r="AB635" s="49"/>
    </row>
    <row r="636" ht="16.5" spans="1:28">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c r="AA636" s="49"/>
      <c r="AB636" s="49"/>
    </row>
    <row r="637" ht="16.5" spans="1:28">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c r="AA637" s="49"/>
      <c r="AB637" s="49"/>
    </row>
    <row r="638" ht="16.5" spans="1:28">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c r="AA638" s="49"/>
      <c r="AB638" s="49"/>
    </row>
    <row r="639" ht="16.5" spans="1:28">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c r="AA639" s="49"/>
      <c r="AB639" s="49"/>
    </row>
    <row r="640" ht="16.5" spans="1:28">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c r="AA640" s="49"/>
      <c r="AB640" s="49"/>
    </row>
    <row r="641" ht="16.5" spans="1:28">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c r="AA641" s="49"/>
      <c r="AB641" s="49"/>
    </row>
    <row r="642" ht="16.5" spans="1:28">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c r="AA642" s="49"/>
      <c r="AB642" s="49"/>
    </row>
    <row r="643" ht="16.5" spans="1:28">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c r="AA643" s="49"/>
      <c r="AB643" s="49"/>
    </row>
    <row r="644" ht="16.5" spans="1:28">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c r="AA644" s="49"/>
      <c r="AB644" s="49"/>
    </row>
    <row r="645" ht="16.5" spans="1:28">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c r="AA645" s="49"/>
      <c r="AB645" s="49"/>
    </row>
    <row r="646" ht="16.5" spans="1:28">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c r="AA646" s="49"/>
      <c r="AB646" s="49"/>
    </row>
    <row r="647" ht="16.5" spans="1:28">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c r="AA647" s="49"/>
      <c r="AB647" s="49"/>
    </row>
    <row r="648" ht="16.5" spans="1:28">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c r="AA648" s="49"/>
      <c r="AB648" s="49"/>
    </row>
    <row r="649" ht="16.5" spans="1:28">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c r="AA649" s="49"/>
      <c r="AB649" s="49"/>
    </row>
    <row r="650" ht="16.5" spans="1:28">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c r="AA650" s="49"/>
      <c r="AB650" s="49"/>
    </row>
    <row r="651" ht="16.5" spans="1:28">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c r="AA651" s="49"/>
      <c r="AB651" s="49"/>
    </row>
    <row r="652" ht="16.5" spans="1:28">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c r="AA652" s="49"/>
      <c r="AB652" s="49"/>
    </row>
    <row r="653" ht="16.5" spans="1:28">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c r="AA653" s="49"/>
      <c r="AB653" s="49"/>
    </row>
    <row r="654" ht="16.5" spans="1:28">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c r="AA654" s="49"/>
      <c r="AB654" s="49"/>
    </row>
    <row r="655" ht="16.5" spans="1:28">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c r="AA655" s="49"/>
      <c r="AB655" s="49"/>
    </row>
    <row r="656" ht="16.5" spans="1:28">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c r="AA656" s="49"/>
      <c r="AB656" s="49"/>
    </row>
    <row r="657" ht="16.5" spans="1:28">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c r="AA657" s="49"/>
      <c r="AB657" s="49"/>
    </row>
    <row r="658" ht="16.5" spans="1:28">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c r="AA658" s="49"/>
      <c r="AB658" s="49"/>
    </row>
    <row r="659" ht="16.5" spans="1:28">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c r="AA659" s="49"/>
      <c r="AB659" s="49"/>
    </row>
    <row r="660" ht="16.5" spans="1:28">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c r="AA660" s="49"/>
      <c r="AB660" s="49"/>
    </row>
    <row r="661" ht="16.5" spans="1:28">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c r="AA661" s="49"/>
      <c r="AB661" s="49"/>
    </row>
    <row r="662" ht="16.5" spans="1:28">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c r="AA662" s="49"/>
      <c r="AB662" s="49"/>
    </row>
    <row r="663" ht="16.5" spans="1:28">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c r="AA663" s="49"/>
      <c r="AB663" s="49"/>
    </row>
    <row r="664" ht="16.5" spans="1:28">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c r="AA664" s="49"/>
      <c r="AB664" s="49"/>
    </row>
    <row r="665" ht="16.5" spans="1:28">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c r="AA665" s="49"/>
      <c r="AB665" s="49"/>
    </row>
    <row r="666" ht="16.5" spans="1:28">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c r="AA666" s="49"/>
      <c r="AB666" s="49"/>
    </row>
    <row r="667" ht="16.5" spans="1:28">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c r="AA667" s="49"/>
      <c r="AB667" s="49"/>
    </row>
    <row r="668" ht="16.5" spans="1:28">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c r="AA668" s="49"/>
      <c r="AB668" s="49"/>
    </row>
    <row r="669" ht="16.5" spans="1:28">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c r="AA669" s="49"/>
      <c r="AB669" s="49"/>
    </row>
    <row r="670" ht="16.5" spans="1:28">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c r="AA670" s="49"/>
      <c r="AB670" s="49"/>
    </row>
    <row r="671" ht="16.5" spans="1:28">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c r="AA671" s="49"/>
      <c r="AB671" s="49"/>
    </row>
    <row r="672" ht="16.5" spans="1:28">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c r="AA672" s="49"/>
      <c r="AB672" s="49"/>
    </row>
    <row r="673" ht="16.5" spans="1:28">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c r="AA673" s="49"/>
      <c r="AB673" s="49"/>
    </row>
    <row r="674" ht="16.5" spans="1:28">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c r="AA674" s="49"/>
      <c r="AB674" s="49"/>
    </row>
    <row r="675" ht="16.5" spans="1:28">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c r="AA675" s="49"/>
      <c r="AB675" s="49"/>
    </row>
    <row r="676" ht="16.5" spans="1:28">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c r="AA676" s="49"/>
      <c r="AB676" s="49"/>
    </row>
    <row r="677" ht="16.5" spans="1:28">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c r="AA677" s="49"/>
      <c r="AB677" s="49"/>
    </row>
    <row r="678" ht="16.5" spans="1:28">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c r="AA678" s="49"/>
      <c r="AB678" s="49"/>
    </row>
    <row r="679" ht="16.5" spans="1:28">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c r="AA679" s="49"/>
      <c r="AB679" s="49"/>
    </row>
    <row r="680" ht="16.5" spans="1:28">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c r="AA680" s="49"/>
      <c r="AB680" s="49"/>
    </row>
    <row r="681" ht="16.5" spans="1:28">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c r="AA681" s="49"/>
      <c r="AB681" s="49"/>
    </row>
    <row r="682" ht="16.5" spans="1:28">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c r="AA682" s="49"/>
      <c r="AB682" s="49"/>
    </row>
    <row r="683" ht="16.5" spans="1:28">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c r="AA683" s="49"/>
      <c r="AB683" s="49"/>
    </row>
    <row r="684" ht="16.5" spans="1:28">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c r="AA684" s="49"/>
      <c r="AB684" s="49"/>
    </row>
    <row r="685" ht="16.5" spans="1:28">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c r="AA685" s="49"/>
      <c r="AB685" s="49"/>
    </row>
    <row r="686" ht="16.5" spans="1:28">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c r="AA686" s="49"/>
      <c r="AB686" s="49"/>
    </row>
    <row r="687" ht="16.5" spans="1:28">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c r="AA687" s="49"/>
      <c r="AB687" s="49"/>
    </row>
    <row r="688" ht="16.5" spans="1:28">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c r="AA688" s="49"/>
      <c r="AB688" s="49"/>
    </row>
    <row r="689" ht="16.5" spans="1:28">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c r="AA689" s="49"/>
      <c r="AB689" s="49"/>
    </row>
    <row r="690" ht="16.5" spans="1:28">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c r="AA690" s="49"/>
      <c r="AB690" s="49"/>
    </row>
    <row r="691" ht="16.5" spans="1:28">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c r="AA691" s="49"/>
      <c r="AB691" s="49"/>
    </row>
    <row r="692" ht="16.5" spans="1:28">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c r="AA692" s="49"/>
      <c r="AB692" s="49"/>
    </row>
    <row r="693" ht="16.5" spans="1:28">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c r="AA693" s="49"/>
      <c r="AB693" s="49"/>
    </row>
    <row r="694" ht="16.5" spans="1:28">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c r="AA694" s="49"/>
      <c r="AB694" s="49"/>
    </row>
    <row r="695" ht="16.5" spans="1:28">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c r="AA695" s="49"/>
      <c r="AB695" s="49"/>
    </row>
    <row r="696" ht="16.5" spans="1:28">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c r="AA696" s="49"/>
      <c r="AB696" s="49"/>
    </row>
    <row r="697" ht="16.5" spans="1:28">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c r="AA697" s="49"/>
      <c r="AB697" s="49"/>
    </row>
    <row r="698" ht="16.5" spans="1:28">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c r="AA698" s="49"/>
      <c r="AB698" s="49"/>
    </row>
    <row r="699" ht="16.5" spans="1:28">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c r="AA699" s="49"/>
      <c r="AB699" s="49"/>
    </row>
    <row r="700" ht="16.5" spans="1:28">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c r="AA700" s="49"/>
      <c r="AB700" s="49"/>
    </row>
    <row r="701" ht="16.5" spans="1:28">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c r="AA701" s="49"/>
      <c r="AB701" s="49"/>
    </row>
    <row r="702" ht="16.5" spans="1:28">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c r="AA702" s="49"/>
      <c r="AB702" s="49"/>
    </row>
    <row r="703" ht="16.5" spans="1:28">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c r="AA703" s="49"/>
      <c r="AB703" s="49"/>
    </row>
    <row r="704" ht="16.5" spans="1:28">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c r="AA704" s="49"/>
      <c r="AB704" s="49"/>
    </row>
    <row r="705" ht="16.5" spans="1:28">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c r="AA705" s="49"/>
      <c r="AB705" s="49"/>
    </row>
    <row r="706" ht="16.5" spans="1:28">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c r="AA706" s="49"/>
      <c r="AB706" s="49"/>
    </row>
    <row r="707" ht="16.5" spans="1:28">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c r="AA707" s="49"/>
      <c r="AB707" s="49"/>
    </row>
    <row r="708" ht="16.5" spans="1:28">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c r="AA708" s="49"/>
      <c r="AB708" s="49"/>
    </row>
    <row r="709" ht="16.5" spans="1:28">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c r="AA709" s="49"/>
      <c r="AB709" s="49"/>
    </row>
    <row r="710" ht="16.5" spans="1:28">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c r="AA710" s="49"/>
      <c r="AB710" s="49"/>
    </row>
    <row r="711" ht="16.5" spans="1:28">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c r="AA711" s="49"/>
      <c r="AB711" s="49"/>
    </row>
    <row r="712" ht="16.5" spans="1:28">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c r="AA712" s="49"/>
      <c r="AB712" s="49"/>
    </row>
    <row r="713" ht="16.5" spans="1:28">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c r="AA713" s="49"/>
      <c r="AB713" s="49"/>
    </row>
    <row r="714" ht="16.5" spans="1:28">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c r="AA714" s="49"/>
      <c r="AB714" s="49"/>
    </row>
    <row r="715" ht="16.5" spans="1:28">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c r="AA715" s="49"/>
      <c r="AB715" s="49"/>
    </row>
    <row r="716" ht="16.5" spans="1:28">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c r="AA716" s="49"/>
      <c r="AB716" s="49"/>
    </row>
    <row r="717" ht="16.5" spans="1:28">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c r="AA717" s="49"/>
      <c r="AB717" s="49"/>
    </row>
    <row r="718" ht="16.5" spans="1:28">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c r="AA718" s="49"/>
      <c r="AB718" s="49"/>
    </row>
    <row r="719" ht="16.5" spans="1:28">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c r="AA719" s="49"/>
      <c r="AB719" s="49"/>
    </row>
    <row r="720" ht="16.5" spans="1:28">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c r="AA720" s="49"/>
      <c r="AB720" s="49"/>
    </row>
    <row r="721" ht="16.5" spans="1:28">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c r="AA721" s="49"/>
      <c r="AB721" s="49"/>
    </row>
    <row r="722" ht="16.5" spans="1:28">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c r="AA722" s="49"/>
      <c r="AB722" s="49"/>
    </row>
    <row r="723" ht="16.5" spans="1:28">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c r="AA723" s="49"/>
      <c r="AB723" s="49"/>
    </row>
    <row r="724" ht="16.5" spans="1:28">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c r="AA724" s="49"/>
      <c r="AB724" s="49"/>
    </row>
    <row r="725" ht="16.5" spans="1:28">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c r="AA725" s="49"/>
      <c r="AB725" s="49"/>
    </row>
    <row r="726" ht="16.5" spans="1:28">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c r="AA726" s="49"/>
      <c r="AB726" s="49"/>
    </row>
    <row r="727" ht="16.5" spans="1:28">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c r="AA727" s="49"/>
      <c r="AB727" s="49"/>
    </row>
    <row r="728" ht="16.5" spans="1:28">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c r="AA728" s="49"/>
      <c r="AB728" s="49"/>
    </row>
    <row r="729" ht="16.5" spans="1:28">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c r="AA729" s="49"/>
      <c r="AB729" s="49"/>
    </row>
    <row r="730" ht="16.5" spans="1:28">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c r="AA730" s="49"/>
      <c r="AB730" s="49"/>
    </row>
    <row r="731" ht="16.5" spans="1:28">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c r="AA731" s="49"/>
      <c r="AB731" s="49"/>
    </row>
    <row r="732" ht="16.5" spans="1:28">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c r="AA732" s="49"/>
      <c r="AB732" s="49"/>
    </row>
    <row r="733" ht="16.5" spans="1:28">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c r="AA733" s="49"/>
      <c r="AB733" s="49"/>
    </row>
    <row r="734" ht="16.5" spans="1:28">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c r="AA734" s="49"/>
      <c r="AB734" s="49"/>
    </row>
    <row r="735" ht="16.5" spans="1:28">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c r="AA735" s="49"/>
      <c r="AB735" s="49"/>
    </row>
    <row r="736" ht="16.5" spans="1:28">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c r="AA736" s="49"/>
      <c r="AB736" s="49"/>
    </row>
    <row r="737" ht="16.5" spans="1:28">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c r="AA737" s="49"/>
      <c r="AB737" s="49"/>
    </row>
    <row r="738" ht="16.5" spans="1:28">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c r="AA738" s="49"/>
      <c r="AB738" s="49"/>
    </row>
    <row r="739" ht="16.5" spans="1:28">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c r="AA739" s="49"/>
      <c r="AB739" s="49"/>
    </row>
    <row r="740" ht="16.5" spans="1:28">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c r="AA740" s="49"/>
      <c r="AB740" s="49"/>
    </row>
    <row r="741" ht="16.5" spans="1:28">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c r="AA741" s="49"/>
      <c r="AB741" s="49"/>
    </row>
    <row r="742" ht="16.5" spans="1:28">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c r="AA742" s="49"/>
      <c r="AB742" s="49"/>
    </row>
    <row r="743" ht="16.5" spans="1:28">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c r="AA743" s="49"/>
      <c r="AB743" s="49"/>
    </row>
    <row r="744" ht="16.5" spans="1:28">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c r="AA744" s="49"/>
      <c r="AB744" s="49"/>
    </row>
    <row r="745" ht="16.5" spans="1:28">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c r="AA745" s="49"/>
      <c r="AB745" s="49"/>
    </row>
    <row r="746" ht="16.5" spans="1:28">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c r="AA746" s="49"/>
      <c r="AB746" s="49"/>
    </row>
    <row r="747" ht="16.5" spans="1:28">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c r="AA747" s="49"/>
      <c r="AB747" s="49"/>
    </row>
    <row r="748" ht="16.5" spans="1:28">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c r="AA748" s="49"/>
      <c r="AB748" s="49"/>
    </row>
    <row r="749" ht="16.5" spans="1:28">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c r="AA749" s="49"/>
      <c r="AB749" s="49"/>
    </row>
    <row r="750" ht="16.5" spans="1:28">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c r="AA750" s="49"/>
      <c r="AB750" s="49"/>
    </row>
    <row r="751" ht="16.5" spans="1:28">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c r="AA751" s="49"/>
      <c r="AB751" s="49"/>
    </row>
    <row r="752" ht="16.5" spans="1:28">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c r="AA752" s="49"/>
      <c r="AB752" s="49"/>
    </row>
    <row r="753" ht="16.5" spans="1:28">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c r="AA753" s="49"/>
      <c r="AB753" s="49"/>
    </row>
    <row r="754" ht="16.5" spans="1:28">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c r="AA754" s="49"/>
      <c r="AB754" s="49"/>
    </row>
    <row r="755" ht="16.5" spans="1:28">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c r="AA755" s="49"/>
      <c r="AB755" s="49"/>
    </row>
    <row r="756" ht="16.5" spans="1:28">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c r="AA756" s="49"/>
      <c r="AB756" s="49"/>
    </row>
    <row r="757" ht="16.5" spans="1:28">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c r="AA757" s="49"/>
      <c r="AB757" s="49"/>
    </row>
    <row r="758" ht="16.5" spans="1:28">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c r="AA758" s="49"/>
      <c r="AB758" s="49"/>
    </row>
    <row r="759" ht="16.5" spans="1:28">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c r="AA759" s="49"/>
      <c r="AB759" s="49"/>
    </row>
    <row r="760" ht="16.5" spans="1:28">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c r="AA760" s="49"/>
      <c r="AB760" s="49"/>
    </row>
    <row r="761" ht="16.5" spans="1:28">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c r="AA761" s="49"/>
      <c r="AB761" s="49"/>
    </row>
    <row r="762" ht="16.5" spans="1:28">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c r="AA762" s="49"/>
      <c r="AB762" s="49"/>
    </row>
    <row r="763" ht="16.5" spans="1:28">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c r="AA763" s="49"/>
      <c r="AB763" s="49"/>
    </row>
    <row r="764" ht="16.5" spans="1:28">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c r="AA764" s="49"/>
      <c r="AB764" s="49"/>
    </row>
    <row r="765" ht="16.5" spans="1:28">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c r="AA765" s="49"/>
      <c r="AB765" s="49"/>
    </row>
    <row r="766" ht="16.5" spans="1:28">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c r="AA766" s="49"/>
      <c r="AB766" s="49"/>
    </row>
    <row r="767" ht="16.5" spans="1:28">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c r="AA767" s="49"/>
      <c r="AB767" s="49"/>
    </row>
    <row r="768" ht="16.5" spans="1:28">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c r="AA768" s="49"/>
      <c r="AB768" s="49"/>
    </row>
    <row r="769" ht="16.5" spans="1:28">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c r="AA769" s="49"/>
      <c r="AB769" s="49"/>
    </row>
    <row r="770" ht="16.5" spans="1:28">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c r="AA770" s="49"/>
      <c r="AB770" s="49"/>
    </row>
    <row r="771" ht="16.5" spans="1:28">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c r="AA771" s="49"/>
      <c r="AB771" s="49"/>
    </row>
    <row r="772" ht="16.5" spans="1:28">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c r="AA772" s="49"/>
      <c r="AB772" s="49"/>
    </row>
    <row r="773" ht="16.5" spans="1:28">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c r="AA773" s="49"/>
      <c r="AB773" s="49"/>
    </row>
    <row r="774" ht="16.5" spans="1:28">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c r="AA774" s="49"/>
      <c r="AB774" s="49"/>
    </row>
    <row r="775" ht="16.5" spans="1:28">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c r="AA775" s="49"/>
      <c r="AB775" s="49"/>
    </row>
    <row r="776" ht="16.5" spans="1:28">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c r="AA776" s="49"/>
      <c r="AB776" s="49"/>
    </row>
    <row r="777" ht="16.5" spans="1:28">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c r="AA777" s="49"/>
      <c r="AB777" s="49"/>
    </row>
    <row r="778" ht="16.5" spans="1:28">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c r="AA778" s="49"/>
      <c r="AB778" s="49"/>
    </row>
    <row r="779" ht="16.5" spans="1:28">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c r="AA779" s="49"/>
      <c r="AB779" s="49"/>
    </row>
    <row r="780" ht="16.5" spans="1:28">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c r="AA780" s="49"/>
      <c r="AB780" s="49"/>
    </row>
    <row r="781" ht="16.5" spans="1:28">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c r="AA781" s="49"/>
      <c r="AB781" s="49"/>
    </row>
    <row r="782" ht="16.5" spans="1:28">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c r="AA782" s="49"/>
      <c r="AB782" s="49"/>
    </row>
    <row r="783" ht="16.5" spans="1:28">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c r="AA783" s="49"/>
      <c r="AB783" s="49"/>
    </row>
    <row r="784" ht="16.5" spans="1:28">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c r="AA784" s="49"/>
      <c r="AB784" s="49"/>
    </row>
    <row r="785" ht="16.5" spans="1:28">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c r="AA785" s="49"/>
      <c r="AB785" s="49"/>
    </row>
    <row r="786" ht="16.5" spans="1:28">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c r="AA786" s="49"/>
      <c r="AB786" s="49"/>
    </row>
    <row r="787" ht="16.5" spans="1:28">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c r="AA787" s="49"/>
      <c r="AB787" s="49"/>
    </row>
    <row r="788" ht="16.5" spans="1:28">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c r="AA788" s="49"/>
      <c r="AB788" s="49"/>
    </row>
    <row r="789" ht="16.5" spans="1:28">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c r="AA789" s="49"/>
      <c r="AB789" s="49"/>
    </row>
    <row r="790" ht="16.5" spans="1:28">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c r="AA790" s="49"/>
      <c r="AB790" s="49"/>
    </row>
    <row r="791" ht="16.5" spans="1:28">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c r="AA791" s="49"/>
      <c r="AB791" s="49"/>
    </row>
    <row r="792" ht="16.5" spans="1:28">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c r="AA792" s="49"/>
      <c r="AB792" s="49"/>
    </row>
    <row r="793" ht="16.5" spans="1:28">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c r="AA793" s="49"/>
      <c r="AB793" s="49"/>
    </row>
    <row r="794" ht="16.5" spans="1:28">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c r="AA794" s="49"/>
      <c r="AB794" s="49"/>
    </row>
    <row r="795" ht="16.5" spans="1:28">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c r="AA795" s="49"/>
      <c r="AB795" s="49"/>
    </row>
    <row r="796" ht="16.5" spans="1:28">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c r="AA796" s="49"/>
      <c r="AB796" s="49"/>
    </row>
    <row r="797" ht="16.5" spans="1:28">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c r="AA797" s="49"/>
      <c r="AB797" s="49"/>
    </row>
    <row r="798" ht="16.5" spans="1:28">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c r="AA798" s="49"/>
      <c r="AB798" s="49"/>
    </row>
    <row r="799" ht="16.5" spans="1:28">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c r="AA799" s="49"/>
      <c r="AB799" s="49"/>
    </row>
    <row r="800" ht="16.5" spans="1:28">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c r="AA800" s="49"/>
      <c r="AB800" s="49"/>
    </row>
    <row r="801" ht="16.5" spans="1:28">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c r="AA801" s="49"/>
      <c r="AB801" s="49"/>
    </row>
    <row r="802" ht="16.5" spans="1:28">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c r="AA802" s="49"/>
      <c r="AB802" s="49"/>
    </row>
    <row r="803" ht="16.5" spans="1:28">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c r="AA803" s="49"/>
      <c r="AB803" s="49"/>
    </row>
    <row r="804" ht="16.5" spans="1:28">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c r="AA804" s="49"/>
      <c r="AB804" s="49"/>
    </row>
    <row r="805" ht="16.5" spans="1:28">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c r="AA805" s="49"/>
      <c r="AB805" s="49"/>
    </row>
    <row r="806" ht="16.5" spans="1:28">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c r="AA806" s="49"/>
      <c r="AB806" s="49"/>
    </row>
    <row r="807" ht="16.5" spans="1:28">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c r="AA807" s="49"/>
      <c r="AB807" s="49"/>
    </row>
    <row r="808" ht="16.5" spans="1:28">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c r="AA808" s="49"/>
      <c r="AB808" s="49"/>
    </row>
    <row r="809" ht="16.5" spans="1:28">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c r="AA809" s="49"/>
      <c r="AB809" s="49"/>
    </row>
    <row r="810" ht="16.5" spans="1:28">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c r="AA810" s="49"/>
      <c r="AB810" s="49"/>
    </row>
    <row r="811" ht="16.5" spans="1:28">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c r="AA811" s="49"/>
      <c r="AB811" s="49"/>
    </row>
    <row r="812" ht="16.5" spans="1:28">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c r="AA812" s="49"/>
      <c r="AB812" s="49"/>
    </row>
    <row r="813" ht="16.5" spans="1:28">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c r="AA813" s="49"/>
      <c r="AB813" s="49"/>
    </row>
    <row r="814" ht="16.5" spans="1:28">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c r="AA814" s="49"/>
      <c r="AB814" s="49"/>
    </row>
    <row r="815" ht="16.5" spans="1:28">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c r="AA815" s="49"/>
      <c r="AB815" s="49"/>
    </row>
    <row r="816" ht="16.5" spans="1:28">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c r="AA816" s="49"/>
      <c r="AB816" s="49"/>
    </row>
    <row r="817" ht="16.5" spans="1:28">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c r="AA817" s="49"/>
      <c r="AB817" s="49"/>
    </row>
    <row r="818" ht="16.5" spans="1:28">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c r="AA818" s="49"/>
      <c r="AB818" s="49"/>
    </row>
    <row r="819" ht="16.5" spans="1:28">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c r="AA819" s="49"/>
      <c r="AB819" s="49"/>
    </row>
    <row r="820" ht="16.5" spans="1:28">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c r="AA820" s="49"/>
      <c r="AB820" s="49"/>
    </row>
    <row r="821" ht="16.5" spans="1:28">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c r="AA821" s="49"/>
      <c r="AB821" s="49"/>
    </row>
    <row r="822" ht="16.5" spans="1:28">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c r="AA822" s="49"/>
      <c r="AB822" s="49"/>
    </row>
    <row r="823" ht="16.5" spans="1:28">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c r="AA823" s="49"/>
      <c r="AB823" s="49"/>
    </row>
    <row r="824" ht="16.5" spans="1:28">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c r="AA824" s="49"/>
      <c r="AB824" s="49"/>
    </row>
    <row r="825" ht="16.5" spans="1:28">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c r="AA825" s="49"/>
      <c r="AB825" s="49"/>
    </row>
    <row r="826" ht="16.5" spans="1:28">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c r="AA826" s="49"/>
      <c r="AB826" s="49"/>
    </row>
    <row r="827" ht="16.5" spans="1:28">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c r="AA827" s="49"/>
      <c r="AB827" s="49"/>
    </row>
    <row r="828" ht="16.5" spans="1:28">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c r="AA828" s="49"/>
      <c r="AB828" s="49"/>
    </row>
    <row r="829" ht="16.5" spans="1:28">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c r="AA829" s="49"/>
      <c r="AB829" s="49"/>
    </row>
    <row r="830" ht="16.5" spans="1:28">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c r="AA830" s="49"/>
      <c r="AB830" s="49"/>
    </row>
    <row r="831" ht="16.5" spans="1:28">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c r="AA831" s="49"/>
      <c r="AB831" s="49"/>
    </row>
    <row r="832" ht="16.5" spans="1:28">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c r="AA832" s="49"/>
      <c r="AB832" s="49"/>
    </row>
    <row r="833" ht="16.5" spans="1:28">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c r="AA833" s="49"/>
      <c r="AB833" s="49"/>
    </row>
    <row r="834" ht="16.5" spans="1:28">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c r="AA834" s="49"/>
      <c r="AB834" s="49"/>
    </row>
    <row r="835" ht="16.5" spans="1:28">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c r="AA835" s="49"/>
      <c r="AB835" s="49"/>
    </row>
    <row r="836" ht="16.5" spans="1:28">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c r="AA836" s="49"/>
      <c r="AB836" s="49"/>
    </row>
    <row r="837" ht="16.5" spans="1:28">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c r="AA837" s="49"/>
      <c r="AB837" s="49"/>
    </row>
    <row r="838" ht="16.5" spans="1:28">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c r="AA838" s="49"/>
      <c r="AB838" s="49"/>
    </row>
    <row r="839" ht="16.5" spans="1:28">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c r="AA839" s="49"/>
      <c r="AB839" s="49"/>
    </row>
    <row r="840" ht="16.5" spans="1:28">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c r="AA840" s="49"/>
      <c r="AB840" s="49"/>
    </row>
    <row r="841" ht="16.5" spans="1:28">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c r="AA841" s="49"/>
      <c r="AB841" s="49"/>
    </row>
    <row r="842" ht="16.5" spans="1:28">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c r="AA842" s="49"/>
      <c r="AB842" s="49"/>
    </row>
    <row r="843" ht="16.5" spans="1:28">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c r="AA843" s="49"/>
      <c r="AB843" s="49"/>
    </row>
    <row r="844" ht="16.5" spans="1:28">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c r="AA844" s="49"/>
      <c r="AB844" s="49"/>
    </row>
    <row r="845" ht="16.5" spans="1:28">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c r="AA845" s="49"/>
      <c r="AB845" s="49"/>
    </row>
    <row r="846" ht="16.5" spans="1:28">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c r="AA846" s="49"/>
      <c r="AB846" s="49"/>
    </row>
    <row r="847" ht="16.5" spans="1:28">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c r="AA847" s="49"/>
      <c r="AB847" s="49"/>
    </row>
    <row r="848" ht="16.5" spans="1:28">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c r="AA848" s="49"/>
      <c r="AB848" s="49"/>
    </row>
    <row r="849" ht="16.5" spans="1:28">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c r="AA849" s="49"/>
      <c r="AB849" s="49"/>
    </row>
    <row r="850" ht="16.5" spans="1:28">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c r="AA850" s="49"/>
      <c r="AB850" s="49"/>
    </row>
    <row r="851" ht="16.5" spans="1:28">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c r="AA851" s="49"/>
      <c r="AB851" s="49"/>
    </row>
    <row r="852" ht="16.5" spans="1:28">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c r="AA852" s="49"/>
      <c r="AB852" s="49"/>
    </row>
    <row r="853" ht="16.5" spans="1:28">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c r="AA853" s="49"/>
      <c r="AB853" s="49"/>
    </row>
    <row r="854" ht="16.5" spans="1:28">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c r="AA854" s="49"/>
      <c r="AB854" s="49"/>
    </row>
    <row r="855" ht="16.5" spans="1:28">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c r="AA855" s="49"/>
      <c r="AB855" s="49"/>
    </row>
    <row r="856" ht="16.5" spans="1:28">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c r="AA856" s="49"/>
      <c r="AB856" s="49"/>
    </row>
    <row r="857" ht="16.5" spans="1:28">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c r="AA857" s="49"/>
      <c r="AB857" s="49"/>
    </row>
    <row r="858" ht="16.5" spans="1:28">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c r="AA858" s="49"/>
      <c r="AB858" s="49"/>
    </row>
    <row r="859" ht="16.5" spans="1:28">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c r="AA859" s="49"/>
      <c r="AB859" s="49"/>
    </row>
    <row r="860" ht="16.5" spans="1:28">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c r="AA860" s="49"/>
      <c r="AB860" s="49"/>
    </row>
    <row r="861" ht="16.5" spans="1:28">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c r="AA861" s="49"/>
      <c r="AB861" s="49"/>
    </row>
    <row r="862" ht="16.5" spans="1:28">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c r="AA862" s="49"/>
      <c r="AB862" s="49"/>
    </row>
    <row r="863" ht="16.5" spans="1:28">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c r="AA863" s="49"/>
      <c r="AB863" s="49"/>
    </row>
    <row r="864" ht="16.5" spans="1:28">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c r="AA864" s="49"/>
      <c r="AB864" s="49"/>
    </row>
    <row r="865" ht="16.5" spans="1:28">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c r="AA865" s="49"/>
      <c r="AB865" s="49"/>
    </row>
    <row r="866" ht="16.5" spans="1:28">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c r="AA866" s="49"/>
      <c r="AB866" s="49"/>
    </row>
    <row r="867" ht="16.5" spans="1:28">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c r="AA867" s="49"/>
      <c r="AB867" s="49"/>
    </row>
    <row r="868" ht="16.5" spans="1:28">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c r="AA868" s="49"/>
      <c r="AB868" s="49"/>
    </row>
    <row r="869" ht="16.5" spans="1:28">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c r="AA869" s="49"/>
      <c r="AB869" s="49"/>
    </row>
    <row r="870" ht="16.5" spans="1:28">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c r="AA870" s="49"/>
      <c r="AB870" s="49"/>
    </row>
    <row r="871" ht="16.5" spans="1:28">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c r="AA871" s="49"/>
      <c r="AB871" s="49"/>
    </row>
    <row r="872" ht="16.5" spans="1:28">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c r="AA872" s="49"/>
      <c r="AB872" s="49"/>
    </row>
    <row r="873" ht="16.5" spans="1:28">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c r="AA873" s="49"/>
      <c r="AB873" s="49"/>
    </row>
    <row r="874" ht="16.5" spans="1:28">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c r="AA874" s="49"/>
      <c r="AB874" s="49"/>
    </row>
    <row r="875" ht="16.5" spans="1:28">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c r="AA875" s="49"/>
      <c r="AB875" s="49"/>
    </row>
    <row r="876" ht="16.5" spans="1:28">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c r="AA876" s="49"/>
      <c r="AB876" s="49"/>
    </row>
    <row r="877" ht="16.5" spans="1:28">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c r="AA877" s="49"/>
      <c r="AB877" s="49"/>
    </row>
    <row r="878" ht="16.5" spans="1:28">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c r="AA878" s="49"/>
      <c r="AB878" s="49"/>
    </row>
    <row r="879" ht="16.5" spans="1:28">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c r="AA879" s="49"/>
      <c r="AB879" s="49"/>
    </row>
    <row r="880" ht="16.5" spans="1:28">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c r="AA880" s="49"/>
      <c r="AB880" s="49"/>
    </row>
    <row r="881" ht="16.5" spans="1:28">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c r="AA881" s="49"/>
      <c r="AB881" s="49"/>
    </row>
    <row r="882" ht="16.5" spans="1:28">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c r="AA882" s="49"/>
      <c r="AB882" s="49"/>
    </row>
    <row r="883" ht="16.5" spans="1:28">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c r="AA883" s="49"/>
      <c r="AB883" s="49"/>
    </row>
    <row r="884" ht="16.5" spans="1:28">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c r="AA884" s="49"/>
      <c r="AB884" s="49"/>
    </row>
    <row r="885" ht="16.5" spans="1:28">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c r="AA885" s="49"/>
      <c r="AB885" s="49"/>
    </row>
    <row r="886" ht="16.5" spans="1:28">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c r="AA886" s="49"/>
      <c r="AB886" s="49"/>
    </row>
    <row r="887" ht="16.5" spans="1:28">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c r="AA887" s="49"/>
      <c r="AB887" s="49"/>
    </row>
    <row r="888" ht="16.5" spans="1:28">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c r="AA888" s="49"/>
      <c r="AB888" s="49"/>
    </row>
    <row r="889" ht="16.5" spans="1:28">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c r="AA889" s="49"/>
      <c r="AB889" s="49"/>
    </row>
    <row r="890" ht="16.5" spans="1:28">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c r="AA890" s="49"/>
      <c r="AB890" s="49"/>
    </row>
    <row r="891" ht="16.5" spans="1:28">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c r="AA891" s="49"/>
      <c r="AB891" s="49"/>
    </row>
    <row r="892" ht="16.5" spans="1:28">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c r="AA892" s="49"/>
      <c r="AB892" s="49"/>
    </row>
    <row r="893" ht="16.5" spans="1:28">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c r="AA893" s="49"/>
      <c r="AB893" s="49"/>
    </row>
    <row r="894" ht="16.5" spans="1:28">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c r="AA894" s="49"/>
      <c r="AB894" s="49"/>
    </row>
    <row r="895" ht="16.5" spans="1:28">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c r="AA895" s="49"/>
      <c r="AB895" s="49"/>
    </row>
    <row r="896" ht="16.5" spans="1:28">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c r="AA896" s="49"/>
      <c r="AB896" s="49"/>
    </row>
    <row r="897" ht="16.5" spans="1:28">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c r="AA897" s="49"/>
      <c r="AB897" s="49"/>
    </row>
    <row r="898" ht="16.5" spans="1:28">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c r="AA898" s="49"/>
      <c r="AB898" s="49"/>
    </row>
    <row r="899" ht="16.5" spans="1:28">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c r="AA899" s="49"/>
      <c r="AB899" s="49"/>
    </row>
    <row r="900" ht="16.5" spans="1:28">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c r="AA900" s="49"/>
      <c r="AB900" s="49"/>
    </row>
    <row r="901" ht="16.5" spans="1:28">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c r="AA901" s="49"/>
      <c r="AB901" s="49"/>
    </row>
    <row r="902" ht="16.5" spans="1:28">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c r="AA902" s="49"/>
      <c r="AB902" s="49"/>
    </row>
    <row r="903" ht="16.5" spans="1:28">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c r="AA903" s="49"/>
      <c r="AB903" s="49"/>
    </row>
    <row r="904" ht="16.5" spans="1:28">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c r="AA904" s="49"/>
      <c r="AB904" s="49"/>
    </row>
    <row r="905" ht="16.5" spans="1:28">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c r="AA905" s="49"/>
      <c r="AB905" s="49"/>
    </row>
    <row r="906" ht="16.5" spans="1:28">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c r="AA906" s="49"/>
      <c r="AB906" s="49"/>
    </row>
    <row r="907" ht="16.5" spans="1:28">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c r="AA907" s="49"/>
      <c r="AB907" s="49"/>
    </row>
    <row r="908" ht="16.5" spans="1:28">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c r="AA908" s="49"/>
      <c r="AB908" s="49"/>
    </row>
    <row r="909" ht="16.5" spans="1:28">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c r="AA909" s="49"/>
      <c r="AB909" s="49"/>
    </row>
    <row r="910" ht="16.5" spans="1:28">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c r="AA910" s="49"/>
      <c r="AB910" s="49"/>
    </row>
    <row r="911" ht="16.5" spans="1:28">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c r="AA911" s="49"/>
      <c r="AB911" s="49"/>
    </row>
    <row r="912" ht="16.5" spans="1:28">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c r="AA912" s="49"/>
      <c r="AB912" s="49"/>
    </row>
    <row r="913" ht="16.5" spans="1:28">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c r="AA913" s="49"/>
      <c r="AB913" s="49"/>
    </row>
    <row r="914" ht="16.5" spans="1:28">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c r="AA914" s="49"/>
      <c r="AB914" s="49"/>
    </row>
    <row r="915" ht="16.5" spans="1:28">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c r="AA915" s="49"/>
      <c r="AB915" s="49"/>
    </row>
    <row r="916" ht="16.5" spans="1:28">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c r="AA916" s="49"/>
      <c r="AB916" s="49"/>
    </row>
    <row r="917" ht="16.5" spans="1:28">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c r="AA917" s="49"/>
      <c r="AB917" s="49"/>
    </row>
    <row r="918" ht="16.5" spans="1:28">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c r="AA918" s="49"/>
      <c r="AB918" s="49"/>
    </row>
    <row r="919" ht="16.5" spans="1:28">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c r="AA919" s="49"/>
      <c r="AB919" s="49"/>
    </row>
    <row r="920" ht="16.5" spans="1:28">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c r="AA920" s="49"/>
      <c r="AB920" s="49"/>
    </row>
    <row r="921" ht="16.5" spans="1:28">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c r="AA921" s="49"/>
      <c r="AB921" s="49"/>
    </row>
    <row r="922" ht="16.5" spans="1:28">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c r="AA922" s="49"/>
      <c r="AB922" s="49"/>
    </row>
    <row r="923" ht="16.5" spans="1:28">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c r="AA923" s="49"/>
      <c r="AB923" s="49"/>
    </row>
    <row r="924" ht="16.5" spans="1:28">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c r="AA924" s="49"/>
      <c r="AB924" s="49"/>
    </row>
    <row r="925" ht="16.5" spans="1:28">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c r="AA925" s="49"/>
      <c r="AB925" s="49"/>
    </row>
    <row r="926" ht="16.5" spans="1:28">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c r="AA926" s="49"/>
      <c r="AB926" s="49"/>
    </row>
    <row r="927" ht="16.5" spans="1:28">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c r="AA927" s="49"/>
      <c r="AB927" s="49"/>
    </row>
    <row r="928" ht="16.5" spans="1:28">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c r="AA928" s="49"/>
      <c r="AB928" s="49"/>
    </row>
    <row r="929" ht="16.5" spans="1:28">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c r="AA929" s="49"/>
      <c r="AB929" s="49"/>
    </row>
    <row r="930" ht="16.5" spans="1:28">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c r="AA930" s="49"/>
      <c r="AB930" s="49"/>
    </row>
    <row r="931" ht="16.5" spans="1:28">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c r="AA931" s="49"/>
      <c r="AB931" s="49"/>
    </row>
    <row r="932" ht="16.5" spans="1:28">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c r="AA932" s="49"/>
      <c r="AB932" s="49"/>
    </row>
    <row r="933" ht="16.5" spans="1:28">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c r="AA933" s="49"/>
      <c r="AB933" s="49"/>
    </row>
    <row r="934" ht="16.5" spans="1:28">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c r="AA934" s="49"/>
      <c r="AB934" s="49"/>
    </row>
    <row r="935" ht="16.5" spans="1:28">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c r="AA935" s="49"/>
      <c r="AB935" s="49"/>
    </row>
    <row r="936" ht="16.5" spans="1:28">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c r="AA936" s="49"/>
      <c r="AB936" s="49"/>
    </row>
    <row r="937" ht="16.5" spans="1:28">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c r="AA937" s="49"/>
      <c r="AB937" s="49"/>
    </row>
    <row r="938" ht="16.5" spans="1:28">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c r="AA938" s="49"/>
      <c r="AB938" s="49"/>
    </row>
    <row r="939" ht="16.5" spans="1:28">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c r="AA939" s="49"/>
      <c r="AB939" s="49"/>
    </row>
    <row r="940" ht="16.5" spans="1:28">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c r="AA940" s="49"/>
      <c r="AB940" s="49"/>
    </row>
    <row r="941" ht="16.5" spans="1:28">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c r="AA941" s="49"/>
      <c r="AB941" s="49"/>
    </row>
    <row r="942" ht="16.5" spans="1:28">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c r="AA942" s="49"/>
      <c r="AB942" s="49"/>
    </row>
    <row r="943" ht="16.5" spans="1:28">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c r="AA943" s="49"/>
      <c r="AB943" s="49"/>
    </row>
    <row r="944" ht="16.5" spans="1:28">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c r="AA944" s="49"/>
      <c r="AB944" s="49"/>
    </row>
    <row r="945" ht="16.5" spans="1:28">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c r="AA945" s="49"/>
      <c r="AB945" s="49"/>
    </row>
    <row r="946" ht="16.5" spans="1:28">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c r="AA946" s="49"/>
      <c r="AB946" s="49"/>
    </row>
    <row r="947" ht="16.5" spans="1:28">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c r="AA947" s="49"/>
      <c r="AB947" s="49"/>
    </row>
    <row r="948" ht="16.5" spans="1:28">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c r="AA948" s="49"/>
      <c r="AB948" s="49"/>
    </row>
    <row r="949" ht="16.5" spans="1:28">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c r="AA949" s="49"/>
      <c r="AB949" s="49"/>
    </row>
    <row r="950" ht="16.5" spans="1:28">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c r="AA950" s="49"/>
      <c r="AB950" s="49"/>
    </row>
    <row r="951" ht="16.5" spans="1:28">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c r="AA951" s="49"/>
      <c r="AB951" s="49"/>
    </row>
    <row r="952" ht="16.5" spans="1:28">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c r="AA952" s="49"/>
      <c r="AB952" s="49"/>
    </row>
    <row r="953" ht="16.5" spans="1:28">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c r="AA953" s="49"/>
      <c r="AB953" s="49"/>
    </row>
    <row r="954" ht="16.5" spans="1:28">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c r="AA954" s="49"/>
      <c r="AB954" s="49"/>
    </row>
    <row r="955" ht="16.5" spans="1:28">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c r="AA955" s="49"/>
      <c r="AB955" s="49"/>
    </row>
    <row r="956" ht="16.5" spans="1:28">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c r="AA956" s="49"/>
      <c r="AB956" s="49"/>
    </row>
    <row r="957" ht="16.5" spans="1:28">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c r="AA957" s="49"/>
      <c r="AB957" s="49"/>
    </row>
    <row r="958" ht="16.5" spans="1:28">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c r="AA958" s="49"/>
      <c r="AB958" s="49"/>
    </row>
    <row r="959" ht="16.5" spans="1:28">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c r="AA959" s="49"/>
      <c r="AB959" s="49"/>
    </row>
    <row r="960" ht="16.5" spans="1:28">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c r="AA960" s="49"/>
      <c r="AB960" s="49"/>
    </row>
    <row r="961" ht="16.5" spans="1:28">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c r="AA961" s="49"/>
      <c r="AB961" s="49"/>
    </row>
    <row r="962" ht="16.5" spans="1:28">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c r="AA962" s="49"/>
      <c r="AB962" s="49"/>
    </row>
    <row r="963" ht="16.5" spans="1:28">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c r="AA963" s="49"/>
      <c r="AB963" s="49"/>
    </row>
    <row r="964" ht="16.5" spans="1:28">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c r="AA964" s="49"/>
      <c r="AB964" s="49"/>
    </row>
    <row r="965" ht="16.5" spans="1:28">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c r="AA965" s="49"/>
      <c r="AB965" s="49"/>
    </row>
    <row r="966" ht="16.5" spans="1:28">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c r="AA966" s="49"/>
      <c r="AB966" s="49"/>
    </row>
    <row r="967" ht="16.5" spans="1:28">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c r="AA967" s="49"/>
      <c r="AB967" s="49"/>
    </row>
    <row r="968" ht="16.5" spans="1:28">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c r="AA968" s="49"/>
      <c r="AB968" s="49"/>
    </row>
    <row r="969" ht="16.5" spans="1:28">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c r="AA969" s="49"/>
      <c r="AB969" s="49"/>
    </row>
    <row r="970" ht="16.5" spans="1:28">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c r="AA970" s="49"/>
      <c r="AB970" s="49"/>
    </row>
    <row r="971" ht="16.5" spans="1:28">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c r="AA971" s="49"/>
      <c r="AB971" s="49"/>
    </row>
    <row r="972" ht="16.5" spans="1:28">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c r="AA972" s="49"/>
      <c r="AB972" s="49"/>
    </row>
    <row r="973" ht="16.5" spans="1:28">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c r="AA973" s="49"/>
      <c r="AB973" s="49"/>
    </row>
    <row r="974" ht="16.5" spans="1:28">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c r="AA974" s="49"/>
      <c r="AB974" s="49"/>
    </row>
    <row r="975" ht="16.5" spans="1:28">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c r="AA975" s="49"/>
      <c r="AB975" s="49"/>
    </row>
    <row r="976" ht="16.5" spans="1:28">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c r="AA976" s="49"/>
      <c r="AB976" s="49"/>
    </row>
    <row r="977" ht="16.5" spans="1:28">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c r="AA977" s="49"/>
      <c r="AB977" s="49"/>
    </row>
    <row r="978" ht="16.5" spans="1:28">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c r="AA978" s="49"/>
      <c r="AB978" s="49"/>
    </row>
    <row r="979" ht="16.5" spans="1:28">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c r="AA979" s="49"/>
      <c r="AB979" s="49"/>
    </row>
    <row r="980" ht="16.5" spans="1:28">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c r="AA980" s="49"/>
      <c r="AB980" s="49"/>
    </row>
    <row r="981" ht="16.5" spans="1:28">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c r="AA981" s="49"/>
      <c r="AB981" s="49"/>
    </row>
    <row r="982" ht="16.5" spans="1:28">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c r="AA982" s="49"/>
      <c r="AB982" s="49"/>
    </row>
    <row r="983" ht="16.5" spans="1:28">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c r="AA983" s="49"/>
      <c r="AB983" s="49"/>
    </row>
    <row r="984" ht="16.5" spans="1:28">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c r="AA984" s="49"/>
      <c r="AB984" s="49"/>
    </row>
    <row r="985" ht="16.5" spans="1:28">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c r="AA985" s="49"/>
      <c r="AB985" s="49"/>
    </row>
    <row r="986" ht="16.5" spans="1:28">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c r="AA986" s="49"/>
      <c r="AB986" s="49"/>
    </row>
    <row r="987" ht="16.5" spans="1:28">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c r="AA987" s="49"/>
      <c r="AB987" s="49"/>
    </row>
    <row r="988" ht="16.5" spans="1:28">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c r="AA988" s="49"/>
      <c r="AB988" s="49"/>
    </row>
    <row r="989" ht="16.5" spans="1:28">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c r="AA989" s="49"/>
      <c r="AB989" s="49"/>
    </row>
    <row r="990" ht="16.5" spans="1:28">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c r="AA990" s="49"/>
      <c r="AB990" s="49"/>
    </row>
    <row r="991" ht="16.5" spans="1:28">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c r="AA991" s="49"/>
      <c r="AB991" s="49"/>
    </row>
    <row r="992" ht="16.5" spans="1:28">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c r="AA992" s="49"/>
      <c r="AB992" s="49"/>
    </row>
    <row r="993" ht="16.5" spans="1:28">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c r="AA993" s="49"/>
      <c r="AB993" s="49"/>
    </row>
    <row r="994" ht="16.5" spans="1:28">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c r="AA994" s="49"/>
      <c r="AB994" s="49"/>
    </row>
    <row r="995" ht="16.5" spans="1:28">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c r="AA995" s="49"/>
      <c r="AB995" s="49"/>
    </row>
    <row r="996" ht="16.5" spans="1:28">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c r="AA996" s="49"/>
      <c r="AB996" s="49"/>
    </row>
    <row r="997" ht="16.5" spans="1:28">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c r="AA997" s="49"/>
      <c r="AB997" s="49"/>
    </row>
    <row r="998" ht="16.5" spans="1:28">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c r="AA998" s="49"/>
      <c r="AB998" s="49"/>
    </row>
    <row r="999" ht="16.5" spans="1:28">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c r="AA999" s="49"/>
      <c r="AB999" s="49"/>
    </row>
    <row r="1000" ht="16.5" spans="1:28">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c r="AA1000" s="49"/>
      <c r="AB1000" s="49"/>
    </row>
    <row r="1001" ht="16.5" spans="1:28">
      <c r="A1001" s="49"/>
      <c r="B1001" s="49"/>
      <c r="C1001" s="49"/>
      <c r="D1001" s="49"/>
      <c r="E1001" s="49"/>
      <c r="F1001" s="49"/>
      <c r="G1001" s="49"/>
      <c r="H1001" s="49"/>
      <c r="I1001" s="49"/>
      <c r="J1001" s="49"/>
      <c r="K1001" s="49"/>
      <c r="L1001" s="49"/>
      <c r="M1001" s="49"/>
      <c r="N1001" s="49"/>
      <c r="O1001" s="49"/>
      <c r="P1001" s="49"/>
      <c r="Q1001" s="49"/>
      <c r="R1001" s="49"/>
      <c r="S1001" s="49"/>
      <c r="T1001" s="49"/>
      <c r="U1001" s="49"/>
      <c r="V1001" s="49"/>
      <c r="W1001" s="49"/>
      <c r="X1001" s="49"/>
      <c r="Y1001" s="49"/>
      <c r="Z1001" s="49"/>
      <c r="AA1001" s="49"/>
      <c r="AB1001" s="49"/>
    </row>
    <row r="1002" ht="16.5" spans="1:28">
      <c r="A1002" s="49"/>
      <c r="B1002" s="49"/>
      <c r="C1002" s="49"/>
      <c r="D1002" s="49"/>
      <c r="E1002" s="49"/>
      <c r="F1002" s="49"/>
      <c r="G1002" s="49"/>
      <c r="H1002" s="49"/>
      <c r="I1002" s="49"/>
      <c r="J1002" s="49"/>
      <c r="K1002" s="49"/>
      <c r="L1002" s="49"/>
      <c r="M1002" s="49"/>
      <c r="N1002" s="49"/>
      <c r="O1002" s="49"/>
      <c r="P1002" s="49"/>
      <c r="Q1002" s="49"/>
      <c r="R1002" s="49"/>
      <c r="S1002" s="49"/>
      <c r="T1002" s="49"/>
      <c r="U1002" s="49"/>
      <c r="V1002" s="49"/>
      <c r="W1002" s="49"/>
      <c r="X1002" s="49"/>
      <c r="Y1002" s="49"/>
      <c r="Z1002" s="49"/>
      <c r="AA1002" s="49"/>
      <c r="AB1002" s="49"/>
    </row>
    <row r="1003" ht="16.5" spans="1:28">
      <c r="A1003" s="49"/>
      <c r="B1003" s="49"/>
      <c r="C1003" s="49"/>
      <c r="D1003" s="49"/>
      <c r="E1003" s="49"/>
      <c r="F1003" s="49"/>
      <c r="G1003" s="49"/>
      <c r="H1003" s="49"/>
      <c r="I1003" s="49"/>
      <c r="J1003" s="49"/>
      <c r="K1003" s="49"/>
      <c r="L1003" s="49"/>
      <c r="M1003" s="49"/>
      <c r="N1003" s="49"/>
      <c r="O1003" s="49"/>
      <c r="P1003" s="49"/>
      <c r="Q1003" s="49"/>
      <c r="R1003" s="49"/>
      <c r="S1003" s="49"/>
      <c r="T1003" s="49"/>
      <c r="U1003" s="49"/>
      <c r="V1003" s="49"/>
      <c r="W1003" s="49"/>
      <c r="X1003" s="49"/>
      <c r="Y1003" s="49"/>
      <c r="Z1003" s="49"/>
      <c r="AA1003" s="49"/>
      <c r="AB1003" s="49"/>
    </row>
    <row r="1004" ht="16.5" spans="1:28">
      <c r="A1004" s="49"/>
      <c r="B1004" s="49"/>
      <c r="C1004" s="49"/>
      <c r="D1004" s="49"/>
      <c r="E1004" s="49"/>
      <c r="F1004" s="49"/>
      <c r="G1004" s="49"/>
      <c r="H1004" s="49"/>
      <c r="I1004" s="49"/>
      <c r="J1004" s="49"/>
      <c r="K1004" s="49"/>
      <c r="L1004" s="49"/>
      <c r="M1004" s="49"/>
      <c r="N1004" s="49"/>
      <c r="O1004" s="49"/>
      <c r="P1004" s="49"/>
      <c r="Q1004" s="49"/>
      <c r="R1004" s="49"/>
      <c r="S1004" s="49"/>
      <c r="T1004" s="49"/>
      <c r="U1004" s="49"/>
      <c r="V1004" s="49"/>
      <c r="W1004" s="49"/>
      <c r="X1004" s="49"/>
      <c r="Y1004" s="49"/>
      <c r="Z1004" s="49"/>
      <c r="AA1004" s="49"/>
      <c r="AB1004" s="49"/>
    </row>
    <row r="1005" ht="16.5" spans="1:28">
      <c r="A1005" s="49"/>
      <c r="B1005" s="49"/>
      <c r="C1005" s="49"/>
      <c r="D1005" s="49"/>
      <c r="E1005" s="49"/>
      <c r="F1005" s="49"/>
      <c r="G1005" s="49"/>
      <c r="H1005" s="49"/>
      <c r="I1005" s="49"/>
      <c r="J1005" s="49"/>
      <c r="K1005" s="49"/>
      <c r="L1005" s="49"/>
      <c r="M1005" s="49"/>
      <c r="N1005" s="49"/>
      <c r="O1005" s="49"/>
      <c r="P1005" s="49"/>
      <c r="Q1005" s="49"/>
      <c r="R1005" s="49"/>
      <c r="S1005" s="49"/>
      <c r="T1005" s="49"/>
      <c r="U1005" s="49"/>
      <c r="V1005" s="49"/>
      <c r="W1005" s="49"/>
      <c r="X1005" s="49"/>
      <c r="Y1005" s="49"/>
      <c r="Z1005" s="49"/>
      <c r="AA1005" s="49"/>
      <c r="AB1005" s="49"/>
    </row>
    <row r="1006" ht="16.5" spans="1:28">
      <c r="A1006" s="49"/>
      <c r="B1006" s="49"/>
      <c r="C1006" s="49"/>
      <c r="D1006" s="49"/>
      <c r="E1006" s="49"/>
      <c r="F1006" s="49"/>
      <c r="G1006" s="49"/>
      <c r="H1006" s="49"/>
      <c r="I1006" s="49"/>
      <c r="J1006" s="49"/>
      <c r="K1006" s="49"/>
      <c r="L1006" s="49"/>
      <c r="M1006" s="49"/>
      <c r="N1006" s="49"/>
      <c r="O1006" s="49"/>
      <c r="P1006" s="49"/>
      <c r="Q1006" s="49"/>
      <c r="R1006" s="49"/>
      <c r="S1006" s="49"/>
      <c r="T1006" s="49"/>
      <c r="U1006" s="49"/>
      <c r="V1006" s="49"/>
      <c r="W1006" s="49"/>
      <c r="X1006" s="49"/>
      <c r="Y1006" s="49"/>
      <c r="Z1006" s="49"/>
      <c r="AA1006" s="49"/>
      <c r="AB1006" s="49"/>
    </row>
    <row r="1007" ht="16.5" spans="1:28">
      <c r="A1007" s="49"/>
      <c r="B1007" s="49"/>
      <c r="C1007" s="49"/>
      <c r="D1007" s="49"/>
      <c r="E1007" s="49"/>
      <c r="F1007" s="49"/>
      <c r="G1007" s="49"/>
      <c r="H1007" s="49"/>
      <c r="I1007" s="49"/>
      <c r="J1007" s="49"/>
      <c r="K1007" s="49"/>
      <c r="L1007" s="49"/>
      <c r="M1007" s="49"/>
      <c r="N1007" s="49"/>
      <c r="O1007" s="49"/>
      <c r="P1007" s="49"/>
      <c r="Q1007" s="49"/>
      <c r="R1007" s="49"/>
      <c r="S1007" s="49"/>
      <c r="T1007" s="49"/>
      <c r="U1007" s="49"/>
      <c r="V1007" s="49"/>
      <c r="W1007" s="49"/>
      <c r="X1007" s="49"/>
      <c r="Y1007" s="49"/>
      <c r="Z1007" s="49"/>
      <c r="AA1007" s="49"/>
      <c r="AB1007" s="49"/>
    </row>
  </sheetData>
  <mergeCells count="31">
    <mergeCell ref="A7:I7"/>
    <mergeCell ref="B18:C18"/>
    <mergeCell ref="A19:I19"/>
    <mergeCell ref="B29:C29"/>
    <mergeCell ref="B47:C47"/>
    <mergeCell ref="B48:C48"/>
    <mergeCell ref="B50:C50"/>
    <mergeCell ref="B8:B12"/>
    <mergeCell ref="B14:B17"/>
    <mergeCell ref="B20:B28"/>
    <mergeCell ref="B30:B33"/>
    <mergeCell ref="B34:B36"/>
    <mergeCell ref="B37:B40"/>
    <mergeCell ref="B41:B44"/>
    <mergeCell ref="B45:B46"/>
    <mergeCell ref="B51:B52"/>
    <mergeCell ref="B53:B54"/>
    <mergeCell ref="D8:D12"/>
    <mergeCell ref="D14:D17"/>
    <mergeCell ref="D20:D28"/>
    <mergeCell ref="D30:D33"/>
    <mergeCell ref="D34:D36"/>
    <mergeCell ref="D48:D50"/>
    <mergeCell ref="D51:D54"/>
    <mergeCell ref="F20:F28"/>
    <mergeCell ref="F42:F44"/>
    <mergeCell ref="G20:G28"/>
    <mergeCell ref="G42:G44"/>
    <mergeCell ref="I1:I5"/>
    <mergeCell ref="A1:B5"/>
    <mergeCell ref="F1:H5"/>
  </mergeCells>
  <dataValidations count="1">
    <dataValidation type="list" allowBlank="1" showErrorMessage="1" sqref="H8:H18 H20:H54">
      <formula1>"PASSED,FAILED"</formula1>
    </dataValidation>
  </dataValidations>
  <hyperlinks>
    <hyperlink ref="D8" r:id="rId1" display="Open Ebanking link http://14.176.232.213:8080/EBankingWebsite/faces/admin/Login  and login successful&#10;"/>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outlinePr summaryBelow="0" summaryRight="0"/>
  </sheetPr>
  <dimension ref="A1:Z1048"/>
  <sheetViews>
    <sheetView topLeftCell="A32" workbookViewId="0">
      <selection activeCell="A9" sqref="$A9:$XFD110"/>
    </sheetView>
  </sheetViews>
  <sheetFormatPr defaultColWidth="12.6272727272727" defaultRowHeight="15" customHeight="1"/>
  <cols>
    <col min="1" max="1" width="10.3818181818182" customWidth="1"/>
    <col min="2" max="2" width="32.1272727272727" customWidth="1"/>
    <col min="3" max="3" width="25.8818181818182" customWidth="1"/>
    <col min="4" max="4" width="27.2545454545455" customWidth="1"/>
    <col min="5" max="5" width="31.2545454545455" customWidth="1"/>
    <col min="6" max="6" width="31.8818181818182" customWidth="1"/>
    <col min="7" max="7" width="31.5" customWidth="1"/>
    <col min="8" max="8" width="14.2545454545455" customWidth="1"/>
  </cols>
  <sheetData>
    <row r="1" ht="13" spans="1:26">
      <c r="A1" s="1"/>
      <c r="B1" s="2"/>
      <c r="C1" s="3"/>
      <c r="D1" s="4" t="s">
        <v>132</v>
      </c>
      <c r="E1" s="4">
        <v>96</v>
      </c>
      <c r="F1" s="5"/>
      <c r="G1" s="6"/>
      <c r="H1" s="2"/>
      <c r="I1" s="26"/>
      <c r="J1" s="33"/>
      <c r="K1" s="33"/>
      <c r="L1" s="33"/>
      <c r="M1" s="33"/>
      <c r="N1" s="33"/>
      <c r="O1" s="33"/>
      <c r="P1" s="33"/>
      <c r="Q1" s="33"/>
      <c r="R1" s="33"/>
      <c r="S1" s="33"/>
      <c r="T1" s="33"/>
      <c r="U1" s="33"/>
      <c r="V1" s="33"/>
      <c r="W1" s="33"/>
      <c r="X1" s="33"/>
      <c r="Y1" s="33"/>
      <c r="Z1" s="33"/>
    </row>
    <row r="2" ht="13" spans="1:26">
      <c r="A2" s="7"/>
      <c r="B2" s="8"/>
      <c r="C2" s="3"/>
      <c r="D2" s="4" t="s">
        <v>133</v>
      </c>
      <c r="E2" s="4">
        <v>56</v>
      </c>
      <c r="F2" s="7"/>
      <c r="H2" s="8"/>
      <c r="I2" s="19"/>
      <c r="J2" s="33"/>
      <c r="K2" s="33"/>
      <c r="L2" s="33"/>
      <c r="M2" s="33"/>
      <c r="N2" s="33"/>
      <c r="O2" s="33"/>
      <c r="P2" s="33"/>
      <c r="Q2" s="33"/>
      <c r="R2" s="33"/>
      <c r="S2" s="33"/>
      <c r="T2" s="33"/>
      <c r="U2" s="33"/>
      <c r="V2" s="33"/>
      <c r="W2" s="33"/>
      <c r="X2" s="33"/>
      <c r="Y2" s="33"/>
      <c r="Z2" s="33"/>
    </row>
    <row r="3" ht="13" spans="1:26">
      <c r="A3" s="7"/>
      <c r="B3" s="8"/>
      <c r="C3" s="3"/>
      <c r="D3" s="4" t="s">
        <v>134</v>
      </c>
      <c r="E3" s="4">
        <v>28</v>
      </c>
      <c r="F3" s="7"/>
      <c r="H3" s="8"/>
      <c r="I3" s="19"/>
      <c r="J3" s="33"/>
      <c r="K3" s="33"/>
      <c r="L3" s="33"/>
      <c r="M3" s="33"/>
      <c r="N3" s="33"/>
      <c r="O3" s="33"/>
      <c r="P3" s="33"/>
      <c r="Q3" s="33"/>
      <c r="R3" s="33"/>
      <c r="S3" s="33"/>
      <c r="T3" s="33"/>
      <c r="U3" s="33"/>
      <c r="V3" s="33"/>
      <c r="W3" s="33"/>
      <c r="X3" s="33"/>
      <c r="Y3" s="33"/>
      <c r="Z3" s="33"/>
    </row>
    <row r="4" ht="13" spans="1:26">
      <c r="A4" s="7"/>
      <c r="B4" s="8"/>
      <c r="C4" s="3"/>
      <c r="D4" s="4" t="s">
        <v>135</v>
      </c>
      <c r="E4" s="4">
        <v>0</v>
      </c>
      <c r="F4" s="7"/>
      <c r="H4" s="8"/>
      <c r="I4" s="19"/>
      <c r="J4" s="33"/>
      <c r="K4" s="33"/>
      <c r="L4" s="33"/>
      <c r="M4" s="33"/>
      <c r="N4" s="33"/>
      <c r="O4" s="33"/>
      <c r="P4" s="33"/>
      <c r="Q4" s="33"/>
      <c r="R4" s="33"/>
      <c r="S4" s="33"/>
      <c r="T4" s="33"/>
      <c r="U4" s="33"/>
      <c r="V4" s="33"/>
      <c r="W4" s="33"/>
      <c r="X4" s="33"/>
      <c r="Y4" s="33"/>
      <c r="Z4" s="33"/>
    </row>
    <row r="5" ht="13" spans="1:26">
      <c r="A5" s="9"/>
      <c r="B5" s="10"/>
      <c r="C5" s="3"/>
      <c r="D5" s="4" t="s">
        <v>136</v>
      </c>
      <c r="E5" s="4">
        <v>12</v>
      </c>
      <c r="F5" s="9"/>
      <c r="G5" s="11"/>
      <c r="H5" s="10"/>
      <c r="I5" s="20"/>
      <c r="J5" s="33"/>
      <c r="K5" s="33"/>
      <c r="L5" s="33"/>
      <c r="M5" s="33"/>
      <c r="N5" s="33"/>
      <c r="O5" s="33"/>
      <c r="P5" s="33"/>
      <c r="Q5" s="33"/>
      <c r="R5" s="33"/>
      <c r="S5" s="33"/>
      <c r="T5" s="33"/>
      <c r="U5" s="33"/>
      <c r="V5" s="33"/>
      <c r="W5" s="33"/>
      <c r="X5" s="33"/>
      <c r="Y5" s="33"/>
      <c r="Z5" s="33"/>
    </row>
    <row r="6" ht="26" spans="1:26">
      <c r="A6" s="12" t="s">
        <v>137</v>
      </c>
      <c r="B6" s="12" t="s">
        <v>138</v>
      </c>
      <c r="C6" s="12"/>
      <c r="D6" s="12" t="s">
        <v>139</v>
      </c>
      <c r="E6" s="12" t="s">
        <v>140</v>
      </c>
      <c r="F6" s="12" t="s">
        <v>141</v>
      </c>
      <c r="G6" s="12" t="s">
        <v>142</v>
      </c>
      <c r="H6" s="12" t="s">
        <v>143</v>
      </c>
      <c r="I6" s="12" t="s">
        <v>144</v>
      </c>
      <c r="J6" s="33"/>
      <c r="K6" s="33"/>
      <c r="L6" s="33"/>
      <c r="M6" s="33"/>
      <c r="N6" s="33"/>
      <c r="O6" s="33"/>
      <c r="P6" s="33"/>
      <c r="Q6" s="33"/>
      <c r="R6" s="33"/>
      <c r="S6" s="33"/>
      <c r="T6" s="33"/>
      <c r="U6" s="33"/>
      <c r="V6" s="33"/>
      <c r="W6" s="33"/>
      <c r="X6" s="33"/>
      <c r="Y6" s="33"/>
      <c r="Z6" s="33"/>
    </row>
    <row r="7" ht="27.75" customHeight="1" spans="1:26">
      <c r="A7" s="13" t="s">
        <v>145</v>
      </c>
      <c r="B7" s="14"/>
      <c r="C7" s="14"/>
      <c r="D7" s="14"/>
      <c r="E7" s="14"/>
      <c r="F7" s="14"/>
      <c r="G7" s="14"/>
      <c r="H7" s="14"/>
      <c r="I7" s="22"/>
      <c r="J7" s="33"/>
      <c r="K7" s="33"/>
      <c r="L7" s="33"/>
      <c r="M7" s="33"/>
      <c r="N7" s="33"/>
      <c r="O7" s="33"/>
      <c r="P7" s="33"/>
      <c r="Q7" s="33"/>
      <c r="R7" s="33"/>
      <c r="S7" s="33"/>
      <c r="T7" s="33"/>
      <c r="U7" s="33"/>
      <c r="V7" s="33"/>
      <c r="W7" s="33"/>
      <c r="X7" s="33"/>
      <c r="Y7" s="33"/>
      <c r="Z7" s="33"/>
    </row>
    <row r="8" ht="27.75" customHeight="1" spans="1:26">
      <c r="A8" s="34" t="s">
        <v>362</v>
      </c>
      <c r="B8" s="14"/>
      <c r="C8" s="14"/>
      <c r="D8" s="14"/>
      <c r="E8" s="14"/>
      <c r="F8" s="14"/>
      <c r="G8" s="14"/>
      <c r="H8" s="14"/>
      <c r="I8" s="22"/>
      <c r="J8" s="33"/>
      <c r="K8" s="33"/>
      <c r="L8" s="33"/>
      <c r="M8" s="33"/>
      <c r="N8" s="33"/>
      <c r="O8" s="33"/>
      <c r="P8" s="33"/>
      <c r="Q8" s="33"/>
      <c r="R8" s="33"/>
      <c r="S8" s="33"/>
      <c r="T8" s="33"/>
      <c r="U8" s="33"/>
      <c r="V8" s="33"/>
      <c r="W8" s="33"/>
      <c r="X8" s="33"/>
      <c r="Y8" s="33"/>
      <c r="Z8" s="33"/>
    </row>
    <row r="9" ht="37.5" spans="1:26">
      <c r="A9" s="15" t="s">
        <v>363</v>
      </c>
      <c r="B9" s="16" t="s">
        <v>364</v>
      </c>
      <c r="C9" s="15" t="s">
        <v>365</v>
      </c>
      <c r="D9" s="17" t="s">
        <v>366</v>
      </c>
      <c r="E9" s="15" t="s">
        <v>367</v>
      </c>
      <c r="F9" s="15" t="s">
        <v>368</v>
      </c>
      <c r="G9" s="15"/>
      <c r="H9" s="18" t="s">
        <v>133</v>
      </c>
      <c r="I9" s="15"/>
      <c r="J9" s="33"/>
      <c r="K9" s="33"/>
      <c r="L9" s="33"/>
      <c r="M9" s="33"/>
      <c r="N9" s="33"/>
      <c r="O9" s="33"/>
      <c r="P9" s="33"/>
      <c r="Q9" s="33"/>
      <c r="R9" s="33"/>
      <c r="S9" s="33"/>
      <c r="T9" s="33"/>
      <c r="U9" s="33"/>
      <c r="V9" s="33"/>
      <c r="W9" s="33"/>
      <c r="X9" s="33"/>
      <c r="Y9" s="33"/>
      <c r="Z9" s="33"/>
    </row>
    <row r="10" ht="62.5" spans="1:26">
      <c r="A10" s="15" t="s">
        <v>369</v>
      </c>
      <c r="B10" s="19"/>
      <c r="C10" s="15" t="s">
        <v>370</v>
      </c>
      <c r="D10" s="19"/>
      <c r="E10" s="15" t="s">
        <v>371</v>
      </c>
      <c r="F10" s="15" t="s">
        <v>372</v>
      </c>
      <c r="G10" s="15"/>
      <c r="H10" s="18" t="s">
        <v>133</v>
      </c>
      <c r="I10" s="15"/>
      <c r="J10" s="33"/>
      <c r="K10" s="33"/>
      <c r="L10" s="33"/>
      <c r="M10" s="33"/>
      <c r="N10" s="33"/>
      <c r="O10" s="33"/>
      <c r="P10" s="33"/>
      <c r="Q10" s="33"/>
      <c r="R10" s="33"/>
      <c r="S10" s="33"/>
      <c r="T10" s="33"/>
      <c r="U10" s="33"/>
      <c r="V10" s="33"/>
      <c r="W10" s="33"/>
      <c r="X10" s="33"/>
      <c r="Y10" s="33"/>
      <c r="Z10" s="33"/>
    </row>
    <row r="11" ht="37.5" spans="1:26">
      <c r="A11" s="15" t="s">
        <v>373</v>
      </c>
      <c r="B11" s="19"/>
      <c r="C11" s="15" t="s">
        <v>374</v>
      </c>
      <c r="D11" s="19"/>
      <c r="E11" s="15" t="s">
        <v>375</v>
      </c>
      <c r="F11" s="15" t="s">
        <v>376</v>
      </c>
      <c r="G11" s="15"/>
      <c r="H11" s="18" t="s">
        <v>133</v>
      </c>
      <c r="I11" s="15"/>
      <c r="J11" s="33"/>
      <c r="K11" s="33"/>
      <c r="L11" s="33"/>
      <c r="M11" s="33"/>
      <c r="N11" s="33"/>
      <c r="O11" s="33"/>
      <c r="P11" s="33"/>
      <c r="Q11" s="33"/>
      <c r="R11" s="33"/>
      <c r="S11" s="33"/>
      <c r="T11" s="33"/>
      <c r="U11" s="33"/>
      <c r="V11" s="33"/>
      <c r="W11" s="33"/>
      <c r="X11" s="33"/>
      <c r="Y11" s="33"/>
      <c r="Z11" s="33"/>
    </row>
    <row r="12" ht="75" spans="1:26">
      <c r="A12" s="15" t="s">
        <v>377</v>
      </c>
      <c r="B12" s="19"/>
      <c r="C12" s="15" t="s">
        <v>378</v>
      </c>
      <c r="D12" s="19"/>
      <c r="E12" s="15" t="s">
        <v>379</v>
      </c>
      <c r="F12" s="15" t="s">
        <v>380</v>
      </c>
      <c r="G12" s="15" t="s">
        <v>381</v>
      </c>
      <c r="H12" s="18" t="s">
        <v>134</v>
      </c>
      <c r="I12" s="40" t="s">
        <v>382</v>
      </c>
      <c r="J12" s="33"/>
      <c r="K12" s="33"/>
      <c r="L12" s="33"/>
      <c r="M12" s="33"/>
      <c r="N12" s="33"/>
      <c r="O12" s="33"/>
      <c r="P12" s="33"/>
      <c r="Q12" s="33"/>
      <c r="R12" s="33"/>
      <c r="S12" s="33"/>
      <c r="T12" s="33"/>
      <c r="U12" s="33"/>
      <c r="V12" s="33"/>
      <c r="W12" s="33"/>
      <c r="X12" s="33"/>
      <c r="Y12" s="33"/>
      <c r="Z12" s="33"/>
    </row>
    <row r="13" ht="62.5" spans="1:26">
      <c r="A13" s="15" t="s">
        <v>383</v>
      </c>
      <c r="B13" s="19"/>
      <c r="C13" s="15" t="s">
        <v>384</v>
      </c>
      <c r="D13" s="19"/>
      <c r="E13" s="15" t="s">
        <v>385</v>
      </c>
      <c r="F13" s="15" t="s">
        <v>386</v>
      </c>
      <c r="G13" s="15"/>
      <c r="H13" s="18" t="s">
        <v>133</v>
      </c>
      <c r="I13" s="15"/>
      <c r="J13" s="33"/>
      <c r="K13" s="33"/>
      <c r="L13" s="33"/>
      <c r="M13" s="33"/>
      <c r="N13" s="33"/>
      <c r="O13" s="33"/>
      <c r="P13" s="33"/>
      <c r="Q13" s="33"/>
      <c r="R13" s="33"/>
      <c r="S13" s="33"/>
      <c r="T13" s="33"/>
      <c r="U13" s="33"/>
      <c r="V13" s="33"/>
      <c r="W13" s="33"/>
      <c r="X13" s="33"/>
      <c r="Y13" s="33"/>
      <c r="Z13" s="33"/>
    </row>
    <row r="14" ht="75" spans="1:26">
      <c r="A14" s="15" t="s">
        <v>387</v>
      </c>
      <c r="B14" s="19"/>
      <c r="C14" s="15" t="s">
        <v>388</v>
      </c>
      <c r="D14" s="19"/>
      <c r="E14" s="15" t="s">
        <v>389</v>
      </c>
      <c r="F14" s="15" t="s">
        <v>390</v>
      </c>
      <c r="G14" s="15"/>
      <c r="H14" s="18" t="s">
        <v>133</v>
      </c>
      <c r="I14" s="15"/>
      <c r="J14" s="33"/>
      <c r="K14" s="33"/>
      <c r="L14" s="33"/>
      <c r="M14" s="33"/>
      <c r="N14" s="33"/>
      <c r="O14" s="33"/>
      <c r="P14" s="33"/>
      <c r="Q14" s="33"/>
      <c r="R14" s="33"/>
      <c r="S14" s="33"/>
      <c r="T14" s="33"/>
      <c r="U14" s="33"/>
      <c r="V14" s="33"/>
      <c r="W14" s="33"/>
      <c r="X14" s="33"/>
      <c r="Y14" s="33"/>
      <c r="Z14" s="33"/>
    </row>
    <row r="15" ht="75" spans="1:26">
      <c r="A15" s="15" t="s">
        <v>391</v>
      </c>
      <c r="B15" s="20"/>
      <c r="C15" s="15" t="s">
        <v>392</v>
      </c>
      <c r="D15" s="19"/>
      <c r="E15" s="15" t="s">
        <v>393</v>
      </c>
      <c r="F15" s="15" t="s">
        <v>394</v>
      </c>
      <c r="G15" s="15"/>
      <c r="H15" s="18" t="s">
        <v>133</v>
      </c>
      <c r="I15" s="15"/>
      <c r="J15" s="33"/>
      <c r="K15" s="33"/>
      <c r="L15" s="33"/>
      <c r="M15" s="33"/>
      <c r="N15" s="33"/>
      <c r="O15" s="33"/>
      <c r="P15" s="33"/>
      <c r="Q15" s="33"/>
      <c r="R15" s="33"/>
      <c r="S15" s="33"/>
      <c r="T15" s="33"/>
      <c r="U15" s="33"/>
      <c r="V15" s="33"/>
      <c r="W15" s="33"/>
      <c r="X15" s="33"/>
      <c r="Y15" s="33"/>
      <c r="Z15" s="33"/>
    </row>
    <row r="16" ht="50" spans="1:26">
      <c r="A16" s="15" t="s">
        <v>395</v>
      </c>
      <c r="B16" s="15"/>
      <c r="C16" s="15" t="s">
        <v>396</v>
      </c>
      <c r="D16" s="19"/>
      <c r="E16" s="15" t="s">
        <v>397</v>
      </c>
      <c r="F16" s="15" t="s">
        <v>398</v>
      </c>
      <c r="G16" s="15"/>
      <c r="H16" s="18" t="s">
        <v>133</v>
      </c>
      <c r="I16" s="15"/>
      <c r="J16" s="33"/>
      <c r="K16" s="33"/>
      <c r="L16" s="33"/>
      <c r="M16" s="33"/>
      <c r="N16" s="33"/>
      <c r="O16" s="33"/>
      <c r="P16" s="33"/>
      <c r="Q16" s="33"/>
      <c r="R16" s="33"/>
      <c r="S16" s="33"/>
      <c r="T16" s="33"/>
      <c r="U16" s="33"/>
      <c r="V16" s="33"/>
      <c r="W16" s="33"/>
      <c r="X16" s="33"/>
      <c r="Y16" s="33"/>
      <c r="Z16" s="33"/>
    </row>
    <row r="17" ht="50" spans="1:26">
      <c r="A17" s="15" t="s">
        <v>399</v>
      </c>
      <c r="B17" s="15"/>
      <c r="C17" s="15" t="s">
        <v>400</v>
      </c>
      <c r="D17" s="19"/>
      <c r="E17" s="15" t="s">
        <v>401</v>
      </c>
      <c r="F17" s="15" t="s">
        <v>402</v>
      </c>
      <c r="G17" s="15"/>
      <c r="H17" s="18" t="s">
        <v>133</v>
      </c>
      <c r="I17" s="15"/>
      <c r="J17" s="33"/>
      <c r="K17" s="33"/>
      <c r="L17" s="33"/>
      <c r="M17" s="33"/>
      <c r="N17" s="33"/>
      <c r="O17" s="33"/>
      <c r="P17" s="33"/>
      <c r="Q17" s="33"/>
      <c r="R17" s="33"/>
      <c r="S17" s="33"/>
      <c r="T17" s="33"/>
      <c r="U17" s="33"/>
      <c r="V17" s="33"/>
      <c r="W17" s="33"/>
      <c r="X17" s="33"/>
      <c r="Y17" s="33"/>
      <c r="Z17" s="33"/>
    </row>
    <row r="18" ht="37.5" spans="1:26">
      <c r="A18" s="15" t="s">
        <v>403</v>
      </c>
      <c r="B18" s="24" t="s">
        <v>404</v>
      </c>
      <c r="C18" s="22"/>
      <c r="D18" s="20"/>
      <c r="E18" s="15" t="s">
        <v>405</v>
      </c>
      <c r="F18" s="15" t="s">
        <v>406</v>
      </c>
      <c r="G18" s="15" t="s">
        <v>407</v>
      </c>
      <c r="H18" s="18" t="s">
        <v>134</v>
      </c>
      <c r="I18" s="40" t="s">
        <v>408</v>
      </c>
      <c r="J18" s="33"/>
      <c r="K18" s="33"/>
      <c r="L18" s="33"/>
      <c r="M18" s="33"/>
      <c r="N18" s="33"/>
      <c r="O18" s="33"/>
      <c r="P18" s="33"/>
      <c r="Q18" s="33"/>
      <c r="R18" s="33"/>
      <c r="S18" s="33"/>
      <c r="T18" s="33"/>
      <c r="U18" s="33"/>
      <c r="V18" s="33"/>
      <c r="W18" s="33"/>
      <c r="X18" s="33"/>
      <c r="Y18" s="33"/>
      <c r="Z18" s="33"/>
    </row>
    <row r="19" ht="13" spans="1:26">
      <c r="A19" s="34" t="s">
        <v>409</v>
      </c>
      <c r="B19" s="14"/>
      <c r="C19" s="14"/>
      <c r="D19" s="14"/>
      <c r="E19" s="14"/>
      <c r="F19" s="14"/>
      <c r="G19" s="14"/>
      <c r="H19" s="14"/>
      <c r="I19" s="22"/>
      <c r="J19" s="33"/>
      <c r="K19" s="33"/>
      <c r="L19" s="33"/>
      <c r="M19" s="33"/>
      <c r="N19" s="33"/>
      <c r="O19" s="33"/>
      <c r="P19" s="33"/>
      <c r="Q19" s="33"/>
      <c r="R19" s="33"/>
      <c r="S19" s="33"/>
      <c r="T19" s="33"/>
      <c r="U19" s="33"/>
      <c r="V19" s="33"/>
      <c r="W19" s="33"/>
      <c r="X19" s="33"/>
      <c r="Y19" s="33"/>
      <c r="Z19" s="33"/>
    </row>
    <row r="20" ht="37.5" spans="1:26">
      <c r="A20" s="15" t="s">
        <v>410</v>
      </c>
      <c r="B20" s="16" t="s">
        <v>411</v>
      </c>
      <c r="C20" s="15" t="s">
        <v>148</v>
      </c>
      <c r="D20" s="15"/>
      <c r="E20" s="15" t="s">
        <v>412</v>
      </c>
      <c r="F20" s="15" t="s">
        <v>413</v>
      </c>
      <c r="G20" s="15"/>
      <c r="H20" s="18" t="s">
        <v>133</v>
      </c>
      <c r="I20" s="15"/>
      <c r="J20" s="33"/>
      <c r="K20" s="33"/>
      <c r="L20" s="33"/>
      <c r="M20" s="33"/>
      <c r="N20" s="33"/>
      <c r="O20" s="33"/>
      <c r="P20" s="33"/>
      <c r="Q20" s="33"/>
      <c r="R20" s="33"/>
      <c r="S20" s="33"/>
      <c r="T20" s="33"/>
      <c r="U20" s="33"/>
      <c r="V20" s="33"/>
      <c r="W20" s="33"/>
      <c r="X20" s="33"/>
      <c r="Y20" s="33"/>
      <c r="Z20" s="33"/>
    </row>
    <row r="21" ht="50" spans="1:26">
      <c r="A21" s="15" t="s">
        <v>414</v>
      </c>
      <c r="B21" s="20"/>
      <c r="C21" s="15" t="s">
        <v>415</v>
      </c>
      <c r="D21" s="15"/>
      <c r="E21" s="15" t="s">
        <v>412</v>
      </c>
      <c r="F21" s="15" t="s">
        <v>416</v>
      </c>
      <c r="G21" s="15" t="s">
        <v>417</v>
      </c>
      <c r="H21" s="18" t="s">
        <v>136</v>
      </c>
      <c r="I21" s="40"/>
      <c r="J21" s="33"/>
      <c r="K21" s="33"/>
      <c r="L21" s="33"/>
      <c r="M21" s="33"/>
      <c r="N21" s="33"/>
      <c r="O21" s="33"/>
      <c r="P21" s="33"/>
      <c r="Q21" s="33"/>
      <c r="R21" s="33"/>
      <c r="S21" s="33"/>
      <c r="T21" s="33"/>
      <c r="U21" s="33"/>
      <c r="V21" s="33"/>
      <c r="W21" s="33"/>
      <c r="X21" s="33"/>
      <c r="Y21" s="33"/>
      <c r="Z21" s="33"/>
    </row>
    <row r="22" ht="13" spans="1:26">
      <c r="A22" s="34" t="s">
        <v>418</v>
      </c>
      <c r="B22" s="14"/>
      <c r="C22" s="14"/>
      <c r="D22" s="14"/>
      <c r="E22" s="14"/>
      <c r="F22" s="14"/>
      <c r="G22" s="14"/>
      <c r="H22" s="14"/>
      <c r="I22" s="22"/>
      <c r="J22" s="33"/>
      <c r="K22" s="33"/>
      <c r="L22" s="33"/>
      <c r="M22" s="33"/>
      <c r="N22" s="33"/>
      <c r="O22" s="33"/>
      <c r="P22" s="33"/>
      <c r="Q22" s="33"/>
      <c r="R22" s="33"/>
      <c r="S22" s="33"/>
      <c r="T22" s="33"/>
      <c r="U22" s="33"/>
      <c r="V22" s="33"/>
      <c r="W22" s="33"/>
      <c r="X22" s="33"/>
      <c r="Y22" s="33"/>
      <c r="Z22" s="33"/>
    </row>
    <row r="23" ht="50" spans="1:26">
      <c r="A23" s="15" t="s">
        <v>419</v>
      </c>
      <c r="B23" s="15" t="s">
        <v>420</v>
      </c>
      <c r="C23" s="15" t="s">
        <v>421</v>
      </c>
      <c r="D23" s="15"/>
      <c r="E23" s="15" t="s">
        <v>422</v>
      </c>
      <c r="F23" s="15" t="s">
        <v>423</v>
      </c>
      <c r="G23" s="15"/>
      <c r="H23" s="18" t="s">
        <v>133</v>
      </c>
      <c r="I23" s="15"/>
      <c r="J23" s="33"/>
      <c r="K23" s="33"/>
      <c r="L23" s="33"/>
      <c r="M23" s="33"/>
      <c r="N23" s="33"/>
      <c r="O23" s="33"/>
      <c r="P23" s="33"/>
      <c r="Q23" s="33"/>
      <c r="R23" s="33"/>
      <c r="S23" s="33"/>
      <c r="T23" s="33"/>
      <c r="U23" s="33"/>
      <c r="V23" s="33"/>
      <c r="W23" s="33"/>
      <c r="X23" s="33"/>
      <c r="Y23" s="33"/>
      <c r="Z23" s="33"/>
    </row>
    <row r="24" ht="13" spans="1:26">
      <c r="A24" s="13" t="s">
        <v>192</v>
      </c>
      <c r="B24" s="14"/>
      <c r="C24" s="14"/>
      <c r="D24" s="14"/>
      <c r="E24" s="14"/>
      <c r="F24" s="14"/>
      <c r="G24" s="14"/>
      <c r="H24" s="14"/>
      <c r="I24" s="22"/>
      <c r="J24" s="33"/>
      <c r="K24" s="33"/>
      <c r="L24" s="33"/>
      <c r="M24" s="33"/>
      <c r="N24" s="33"/>
      <c r="O24" s="33"/>
      <c r="P24" s="33"/>
      <c r="Q24" s="33"/>
      <c r="R24" s="33"/>
      <c r="S24" s="33"/>
      <c r="T24" s="33"/>
      <c r="U24" s="33"/>
      <c r="V24" s="33"/>
      <c r="W24" s="33"/>
      <c r="X24" s="33"/>
      <c r="Y24" s="33"/>
      <c r="Z24" s="33"/>
    </row>
    <row r="25" ht="13" spans="1:26">
      <c r="A25" s="34" t="s">
        <v>362</v>
      </c>
      <c r="B25" s="14"/>
      <c r="C25" s="14"/>
      <c r="D25" s="14"/>
      <c r="E25" s="14"/>
      <c r="F25" s="14"/>
      <c r="G25" s="14"/>
      <c r="H25" s="14"/>
      <c r="I25" s="22"/>
      <c r="J25" s="33"/>
      <c r="K25" s="33"/>
      <c r="L25" s="33"/>
      <c r="M25" s="33"/>
      <c r="N25" s="33"/>
      <c r="O25" s="33"/>
      <c r="P25" s="33"/>
      <c r="Q25" s="33"/>
      <c r="R25" s="33"/>
      <c r="S25" s="33"/>
      <c r="T25" s="33"/>
      <c r="U25" s="33"/>
      <c r="V25" s="33"/>
      <c r="W25" s="33"/>
      <c r="X25" s="33"/>
      <c r="Y25" s="33"/>
      <c r="Z25" s="33"/>
    </row>
    <row r="26" ht="75" spans="1:26">
      <c r="A26" s="15" t="s">
        <v>424</v>
      </c>
      <c r="B26" s="16" t="s">
        <v>425</v>
      </c>
      <c r="C26" s="15" t="s">
        <v>426</v>
      </c>
      <c r="D26" s="16" t="s">
        <v>427</v>
      </c>
      <c r="E26" s="15" t="s">
        <v>428</v>
      </c>
      <c r="F26" s="16" t="s">
        <v>429</v>
      </c>
      <c r="G26" s="16"/>
      <c r="H26" s="18" t="s">
        <v>133</v>
      </c>
      <c r="I26" s="15"/>
      <c r="J26" s="33"/>
      <c r="K26" s="33"/>
      <c r="L26" s="33"/>
      <c r="M26" s="33"/>
      <c r="N26" s="33"/>
      <c r="O26" s="33"/>
      <c r="P26" s="33"/>
      <c r="Q26" s="33"/>
      <c r="R26" s="33"/>
      <c r="S26" s="33"/>
      <c r="T26" s="33"/>
      <c r="U26" s="33"/>
      <c r="V26" s="33"/>
      <c r="W26" s="33"/>
      <c r="X26" s="33"/>
      <c r="Y26" s="33"/>
      <c r="Z26" s="33"/>
    </row>
    <row r="27" ht="75" spans="1:26">
      <c r="A27" s="15" t="s">
        <v>430</v>
      </c>
      <c r="B27" s="19"/>
      <c r="C27" s="15" t="s">
        <v>431</v>
      </c>
      <c r="D27" s="19"/>
      <c r="E27" s="15" t="s">
        <v>432</v>
      </c>
      <c r="F27" s="15" t="s">
        <v>433</v>
      </c>
      <c r="G27" s="15" t="s">
        <v>434</v>
      </c>
      <c r="H27" s="18" t="s">
        <v>134</v>
      </c>
      <c r="I27" s="40" t="s">
        <v>435</v>
      </c>
      <c r="J27" s="33"/>
      <c r="K27" s="33"/>
      <c r="L27" s="33"/>
      <c r="M27" s="33"/>
      <c r="N27" s="33"/>
      <c r="O27" s="33"/>
      <c r="P27" s="33"/>
      <c r="Q27" s="33"/>
      <c r="R27" s="33"/>
      <c r="S27" s="33"/>
      <c r="T27" s="33"/>
      <c r="U27" s="33"/>
      <c r="V27" s="33"/>
      <c r="W27" s="33"/>
      <c r="X27" s="33"/>
      <c r="Y27" s="33"/>
      <c r="Z27" s="33"/>
    </row>
    <row r="28" ht="75" spans="1:26">
      <c r="A28" s="15" t="s">
        <v>436</v>
      </c>
      <c r="B28" s="19"/>
      <c r="C28" s="15" t="s">
        <v>437</v>
      </c>
      <c r="D28" s="19"/>
      <c r="E28" s="15" t="s">
        <v>438</v>
      </c>
      <c r="F28" s="16" t="s">
        <v>439</v>
      </c>
      <c r="G28" s="16"/>
      <c r="H28" s="18" t="s">
        <v>133</v>
      </c>
      <c r="I28" s="15"/>
      <c r="J28" s="33"/>
      <c r="K28" s="33"/>
      <c r="L28" s="33"/>
      <c r="M28" s="33"/>
      <c r="N28" s="33"/>
      <c r="O28" s="33"/>
      <c r="P28" s="33"/>
      <c r="Q28" s="33"/>
      <c r="R28" s="33"/>
      <c r="S28" s="33"/>
      <c r="T28" s="33"/>
      <c r="U28" s="33"/>
      <c r="V28" s="33"/>
      <c r="W28" s="33"/>
      <c r="X28" s="33"/>
      <c r="Y28" s="33"/>
      <c r="Z28" s="33"/>
    </row>
    <row r="29" ht="75" spans="1:26">
      <c r="A29" s="15" t="s">
        <v>440</v>
      </c>
      <c r="B29" s="19"/>
      <c r="C29" s="15" t="s">
        <v>441</v>
      </c>
      <c r="D29" s="19"/>
      <c r="E29" s="15" t="s">
        <v>442</v>
      </c>
      <c r="F29" s="19"/>
      <c r="G29" s="19"/>
      <c r="H29" s="18" t="s">
        <v>133</v>
      </c>
      <c r="I29" s="15"/>
      <c r="J29" s="33"/>
      <c r="K29" s="33"/>
      <c r="L29" s="33"/>
      <c r="M29" s="33"/>
      <c r="N29" s="33"/>
      <c r="O29" s="33"/>
      <c r="P29" s="33"/>
      <c r="Q29" s="33"/>
      <c r="R29" s="33"/>
      <c r="S29" s="33"/>
      <c r="T29" s="33"/>
      <c r="U29" s="33"/>
      <c r="V29" s="33"/>
      <c r="W29" s="33"/>
      <c r="X29" s="33"/>
      <c r="Y29" s="33"/>
      <c r="Z29" s="33"/>
    </row>
    <row r="30" ht="75" spans="1:26">
      <c r="A30" s="15" t="s">
        <v>443</v>
      </c>
      <c r="B30" s="19"/>
      <c r="C30" s="15" t="s">
        <v>444</v>
      </c>
      <c r="D30" s="19"/>
      <c r="E30" s="15" t="s">
        <v>445</v>
      </c>
      <c r="F30" s="19"/>
      <c r="G30" s="19"/>
      <c r="H30" s="18" t="s">
        <v>133</v>
      </c>
      <c r="I30" s="15"/>
      <c r="J30" s="33"/>
      <c r="K30" s="33"/>
      <c r="L30" s="33"/>
      <c r="M30" s="33"/>
      <c r="N30" s="33"/>
      <c r="O30" s="33"/>
      <c r="P30" s="33"/>
      <c r="Q30" s="33"/>
      <c r="R30" s="33"/>
      <c r="S30" s="33"/>
      <c r="T30" s="33"/>
      <c r="U30" s="33"/>
      <c r="V30" s="33"/>
      <c r="W30" s="33"/>
      <c r="X30" s="33"/>
      <c r="Y30" s="33"/>
      <c r="Z30" s="33"/>
    </row>
    <row r="31" ht="75" spans="1:26">
      <c r="A31" s="15" t="s">
        <v>446</v>
      </c>
      <c r="B31" s="19"/>
      <c r="C31" s="15" t="s">
        <v>447</v>
      </c>
      <c r="D31" s="19"/>
      <c r="E31" s="15" t="s">
        <v>448</v>
      </c>
      <c r="F31" s="19"/>
      <c r="G31" s="19"/>
      <c r="H31" s="18" t="s">
        <v>133</v>
      </c>
      <c r="I31" s="15"/>
      <c r="J31" s="33"/>
      <c r="K31" s="33"/>
      <c r="L31" s="33"/>
      <c r="M31" s="33"/>
      <c r="N31" s="33"/>
      <c r="O31" s="33"/>
      <c r="P31" s="33"/>
      <c r="Q31" s="33"/>
      <c r="R31" s="33"/>
      <c r="S31" s="33"/>
      <c r="T31" s="33"/>
      <c r="U31" s="33"/>
      <c r="V31" s="33"/>
      <c r="W31" s="33"/>
      <c r="X31" s="33"/>
      <c r="Y31" s="33"/>
      <c r="Z31" s="33"/>
    </row>
    <row r="32" ht="75" spans="1:26">
      <c r="A32" s="15" t="s">
        <v>449</v>
      </c>
      <c r="B32" s="19"/>
      <c r="C32" s="15" t="s">
        <v>450</v>
      </c>
      <c r="D32" s="19"/>
      <c r="E32" s="15" t="s">
        <v>451</v>
      </c>
      <c r="F32" s="19"/>
      <c r="G32" s="19"/>
      <c r="H32" s="18" t="s">
        <v>133</v>
      </c>
      <c r="I32" s="15"/>
      <c r="J32" s="33"/>
      <c r="K32" s="33"/>
      <c r="L32" s="33"/>
      <c r="M32" s="33"/>
      <c r="N32" s="33"/>
      <c r="O32" s="33"/>
      <c r="P32" s="33"/>
      <c r="Q32" s="33"/>
      <c r="R32" s="33"/>
      <c r="S32" s="33"/>
      <c r="T32" s="33"/>
      <c r="U32" s="33"/>
      <c r="V32" s="33"/>
      <c r="W32" s="33"/>
      <c r="X32" s="33"/>
      <c r="Y32" s="33"/>
      <c r="Z32" s="33"/>
    </row>
    <row r="33" ht="75" spans="1:26">
      <c r="A33" s="15" t="s">
        <v>452</v>
      </c>
      <c r="B33" s="19"/>
      <c r="C33" s="15" t="s">
        <v>453</v>
      </c>
      <c r="D33" s="19"/>
      <c r="E33" s="15" t="s">
        <v>454</v>
      </c>
      <c r="F33" s="19"/>
      <c r="G33" s="19"/>
      <c r="H33" s="18" t="s">
        <v>133</v>
      </c>
      <c r="I33" s="15"/>
      <c r="J33" s="33"/>
      <c r="K33" s="33"/>
      <c r="L33" s="33"/>
      <c r="M33" s="33"/>
      <c r="N33" s="33"/>
      <c r="O33" s="33"/>
      <c r="P33" s="33"/>
      <c r="Q33" s="33"/>
      <c r="R33" s="33"/>
      <c r="S33" s="33"/>
      <c r="T33" s="33"/>
      <c r="U33" s="33"/>
      <c r="V33" s="33"/>
      <c r="W33" s="33"/>
      <c r="X33" s="33"/>
      <c r="Y33" s="33"/>
      <c r="Z33" s="33"/>
    </row>
    <row r="34" ht="75" spans="1:26">
      <c r="A34" s="15" t="s">
        <v>455</v>
      </c>
      <c r="B34" s="19"/>
      <c r="C34" s="15" t="s">
        <v>456</v>
      </c>
      <c r="D34" s="19"/>
      <c r="E34" s="15" t="s">
        <v>457</v>
      </c>
      <c r="F34" s="19"/>
      <c r="G34" s="19"/>
      <c r="H34" s="18" t="s">
        <v>133</v>
      </c>
      <c r="I34" s="15"/>
      <c r="J34" s="33"/>
      <c r="K34" s="33"/>
      <c r="L34" s="33"/>
      <c r="M34" s="33"/>
      <c r="N34" s="33"/>
      <c r="O34" s="33"/>
      <c r="P34" s="33"/>
      <c r="Q34" s="33"/>
      <c r="R34" s="33"/>
      <c r="S34" s="33"/>
      <c r="T34" s="33"/>
      <c r="U34" s="33"/>
      <c r="V34" s="33"/>
      <c r="W34" s="33"/>
      <c r="X34" s="33"/>
      <c r="Y34" s="33"/>
      <c r="Z34" s="33"/>
    </row>
    <row r="35" ht="75" spans="1:26">
      <c r="A35" s="15" t="s">
        <v>458</v>
      </c>
      <c r="B35" s="19"/>
      <c r="C35" s="15" t="s">
        <v>459</v>
      </c>
      <c r="D35" s="19"/>
      <c r="E35" s="15" t="s">
        <v>460</v>
      </c>
      <c r="F35" s="19"/>
      <c r="G35" s="19"/>
      <c r="H35" s="18" t="s">
        <v>133</v>
      </c>
      <c r="I35" s="15"/>
      <c r="J35" s="33"/>
      <c r="K35" s="33"/>
      <c r="L35" s="33"/>
      <c r="M35" s="33"/>
      <c r="N35" s="33"/>
      <c r="O35" s="33"/>
      <c r="P35" s="33"/>
      <c r="Q35" s="33"/>
      <c r="R35" s="33"/>
      <c r="S35" s="33"/>
      <c r="T35" s="33"/>
      <c r="U35" s="33"/>
      <c r="V35" s="33"/>
      <c r="W35" s="33"/>
      <c r="X35" s="33"/>
      <c r="Y35" s="33"/>
      <c r="Z35" s="33"/>
    </row>
    <row r="36" ht="75" spans="1:26">
      <c r="A36" s="15" t="s">
        <v>461</v>
      </c>
      <c r="B36" s="19"/>
      <c r="C36" s="15" t="s">
        <v>462</v>
      </c>
      <c r="D36" s="19"/>
      <c r="E36" s="15" t="s">
        <v>463</v>
      </c>
      <c r="F36" s="19"/>
      <c r="G36" s="19"/>
      <c r="H36" s="18" t="s">
        <v>133</v>
      </c>
      <c r="I36" s="15"/>
      <c r="J36" s="33"/>
      <c r="K36" s="33"/>
      <c r="L36" s="33"/>
      <c r="M36" s="33"/>
      <c r="N36" s="33"/>
      <c r="O36" s="33"/>
      <c r="P36" s="33"/>
      <c r="Q36" s="33"/>
      <c r="R36" s="33"/>
      <c r="S36" s="33"/>
      <c r="T36" s="33"/>
      <c r="U36" s="33"/>
      <c r="V36" s="33"/>
      <c r="W36" s="33"/>
      <c r="X36" s="33"/>
      <c r="Y36" s="33"/>
      <c r="Z36" s="33"/>
    </row>
    <row r="37" ht="75" spans="1:26">
      <c r="A37" s="15" t="s">
        <v>464</v>
      </c>
      <c r="B37" s="19"/>
      <c r="C37" s="15" t="s">
        <v>465</v>
      </c>
      <c r="D37" s="19"/>
      <c r="E37" s="15" t="s">
        <v>466</v>
      </c>
      <c r="F37" s="19"/>
      <c r="G37" s="19"/>
      <c r="H37" s="18" t="s">
        <v>133</v>
      </c>
      <c r="I37" s="15"/>
      <c r="J37" s="33"/>
      <c r="K37" s="33"/>
      <c r="L37" s="33"/>
      <c r="M37" s="33"/>
      <c r="N37" s="33"/>
      <c r="O37" s="33"/>
      <c r="P37" s="33"/>
      <c r="Q37" s="33"/>
      <c r="R37" s="33"/>
      <c r="S37" s="33"/>
      <c r="T37" s="33"/>
      <c r="U37" s="33"/>
      <c r="V37" s="33"/>
      <c r="W37" s="33"/>
      <c r="X37" s="33"/>
      <c r="Y37" s="33"/>
      <c r="Z37" s="33"/>
    </row>
    <row r="38" ht="75" spans="1:26">
      <c r="A38" s="15" t="s">
        <v>467</v>
      </c>
      <c r="B38" s="20"/>
      <c r="C38" s="15" t="s">
        <v>468</v>
      </c>
      <c r="D38" s="19"/>
      <c r="E38" s="23" t="s">
        <v>469</v>
      </c>
      <c r="F38" s="20"/>
      <c r="G38" s="20"/>
      <c r="H38" s="18" t="s">
        <v>133</v>
      </c>
      <c r="I38" s="15"/>
      <c r="J38" s="33"/>
      <c r="K38" s="33"/>
      <c r="L38" s="33"/>
      <c r="M38" s="33"/>
      <c r="N38" s="33"/>
      <c r="O38" s="33"/>
      <c r="P38" s="33"/>
      <c r="Q38" s="33"/>
      <c r="R38" s="33"/>
      <c r="S38" s="33"/>
      <c r="T38" s="33"/>
      <c r="U38" s="33"/>
      <c r="V38" s="33"/>
      <c r="W38" s="33"/>
      <c r="X38" s="33"/>
      <c r="Y38" s="33"/>
      <c r="Z38" s="33"/>
    </row>
    <row r="39" ht="50" spans="1:26">
      <c r="A39" s="15" t="s">
        <v>470</v>
      </c>
      <c r="B39" s="24" t="s">
        <v>471</v>
      </c>
      <c r="C39" s="22"/>
      <c r="D39" s="16" t="s">
        <v>472</v>
      </c>
      <c r="E39" s="35" t="s">
        <v>473</v>
      </c>
      <c r="F39" s="15" t="s">
        <v>474</v>
      </c>
      <c r="G39" s="15"/>
      <c r="H39" s="18" t="s">
        <v>133</v>
      </c>
      <c r="I39" s="15"/>
      <c r="J39" s="33"/>
      <c r="K39" s="33"/>
      <c r="L39" s="33"/>
      <c r="M39" s="33"/>
      <c r="N39" s="33"/>
      <c r="O39" s="33"/>
      <c r="P39" s="33"/>
      <c r="Q39" s="33"/>
      <c r="R39" s="33"/>
      <c r="S39" s="33"/>
      <c r="T39" s="33"/>
      <c r="U39" s="33"/>
      <c r="V39" s="33"/>
      <c r="W39" s="33"/>
      <c r="X39" s="33"/>
      <c r="Y39" s="33"/>
      <c r="Z39" s="33"/>
    </row>
    <row r="40" ht="62.5" spans="1:26">
      <c r="A40" s="15" t="s">
        <v>475</v>
      </c>
      <c r="B40" s="24" t="s">
        <v>476</v>
      </c>
      <c r="C40" s="22"/>
      <c r="D40" s="19"/>
      <c r="E40" s="35" t="s">
        <v>477</v>
      </c>
      <c r="F40" s="15" t="s">
        <v>478</v>
      </c>
      <c r="G40" s="15"/>
      <c r="H40" s="18" t="s">
        <v>133</v>
      </c>
      <c r="I40" s="15"/>
      <c r="J40" s="33"/>
      <c r="K40" s="33"/>
      <c r="L40" s="33"/>
      <c r="M40" s="33"/>
      <c r="N40" s="33"/>
      <c r="O40" s="33"/>
      <c r="P40" s="33"/>
      <c r="Q40" s="33"/>
      <c r="R40" s="33"/>
      <c r="S40" s="33"/>
      <c r="T40" s="33"/>
      <c r="U40" s="33"/>
      <c r="V40" s="33"/>
      <c r="W40" s="33"/>
      <c r="X40" s="33"/>
      <c r="Y40" s="33"/>
      <c r="Z40" s="33"/>
    </row>
    <row r="41" ht="62.5" spans="1:26">
      <c r="A41" s="15" t="s">
        <v>479</v>
      </c>
      <c r="B41" s="24" t="s">
        <v>480</v>
      </c>
      <c r="C41" s="22"/>
      <c r="D41" s="19"/>
      <c r="E41" s="36" t="s">
        <v>481</v>
      </c>
      <c r="F41" s="15" t="s">
        <v>482</v>
      </c>
      <c r="G41" s="15"/>
      <c r="H41" s="18" t="s">
        <v>133</v>
      </c>
      <c r="I41" s="15"/>
      <c r="J41" s="33"/>
      <c r="K41" s="33"/>
      <c r="L41" s="33"/>
      <c r="M41" s="33"/>
      <c r="N41" s="33"/>
      <c r="O41" s="33"/>
      <c r="P41" s="33"/>
      <c r="Q41" s="33"/>
      <c r="R41" s="33"/>
      <c r="S41" s="33"/>
      <c r="T41" s="33"/>
      <c r="U41" s="33"/>
      <c r="V41" s="33"/>
      <c r="W41" s="33"/>
      <c r="X41" s="33"/>
      <c r="Y41" s="33"/>
      <c r="Z41" s="33"/>
    </row>
    <row r="42" ht="62.5" spans="1:26">
      <c r="A42" s="15" t="s">
        <v>483</v>
      </c>
      <c r="B42" s="24" t="s">
        <v>484</v>
      </c>
      <c r="C42" s="22"/>
      <c r="D42" s="19"/>
      <c r="E42" s="36" t="s">
        <v>485</v>
      </c>
      <c r="F42" s="15" t="s">
        <v>486</v>
      </c>
      <c r="G42" s="15"/>
      <c r="H42" s="18" t="s">
        <v>133</v>
      </c>
      <c r="I42" s="15"/>
      <c r="J42" s="33"/>
      <c r="K42" s="33"/>
      <c r="L42" s="33"/>
      <c r="M42" s="33"/>
      <c r="N42" s="33"/>
      <c r="O42" s="33"/>
      <c r="P42" s="33"/>
      <c r="Q42" s="33"/>
      <c r="R42" s="33"/>
      <c r="S42" s="33"/>
      <c r="T42" s="33"/>
      <c r="U42" s="33"/>
      <c r="V42" s="33"/>
      <c r="W42" s="33"/>
      <c r="X42" s="33"/>
      <c r="Y42" s="33"/>
      <c r="Z42" s="33"/>
    </row>
    <row r="43" ht="62.5" spans="1:26">
      <c r="A43" s="15" t="s">
        <v>487</v>
      </c>
      <c r="B43" s="24" t="s">
        <v>488</v>
      </c>
      <c r="C43" s="22"/>
      <c r="D43" s="20"/>
      <c r="E43" s="23" t="s">
        <v>489</v>
      </c>
      <c r="F43" s="15" t="s">
        <v>490</v>
      </c>
      <c r="G43" s="15" t="s">
        <v>491</v>
      </c>
      <c r="H43" s="18" t="s">
        <v>134</v>
      </c>
      <c r="I43" s="40" t="s">
        <v>492</v>
      </c>
      <c r="J43" s="33"/>
      <c r="K43" s="33"/>
      <c r="L43" s="33"/>
      <c r="M43" s="33"/>
      <c r="N43" s="33"/>
      <c r="O43" s="33"/>
      <c r="P43" s="33"/>
      <c r="Q43" s="33"/>
      <c r="R43" s="33"/>
      <c r="S43" s="33"/>
      <c r="T43" s="33"/>
      <c r="U43" s="33"/>
      <c r="V43" s="33"/>
      <c r="W43" s="33"/>
      <c r="X43" s="33"/>
      <c r="Y43" s="33"/>
      <c r="Z43" s="33"/>
    </row>
    <row r="44" ht="187.5" spans="1:26">
      <c r="A44" s="15" t="s">
        <v>493</v>
      </c>
      <c r="B44" s="37" t="s">
        <v>494</v>
      </c>
      <c r="C44" s="15" t="s">
        <v>495</v>
      </c>
      <c r="D44" s="16" t="s">
        <v>496</v>
      </c>
      <c r="E44" s="38" t="s">
        <v>497</v>
      </c>
      <c r="F44" s="25" t="s">
        <v>439</v>
      </c>
      <c r="G44" s="25"/>
      <c r="H44" s="18" t="s">
        <v>133</v>
      </c>
      <c r="I44" s="15"/>
      <c r="J44" s="33"/>
      <c r="K44" s="33"/>
      <c r="L44" s="33"/>
      <c r="M44" s="33"/>
      <c r="N44" s="33"/>
      <c r="O44" s="33"/>
      <c r="P44" s="33"/>
      <c r="Q44" s="33"/>
      <c r="R44" s="33"/>
      <c r="S44" s="33"/>
      <c r="T44" s="33"/>
      <c r="U44" s="33"/>
      <c r="V44" s="33"/>
      <c r="W44" s="33"/>
      <c r="X44" s="33"/>
      <c r="Y44" s="33"/>
      <c r="Z44" s="33"/>
    </row>
    <row r="45" ht="187.5" spans="1:26">
      <c r="A45" s="15" t="s">
        <v>498</v>
      </c>
      <c r="B45" s="9"/>
      <c r="C45" s="15" t="s">
        <v>499</v>
      </c>
      <c r="D45" s="16" t="s">
        <v>500</v>
      </c>
      <c r="E45" s="38" t="s">
        <v>497</v>
      </c>
      <c r="F45" s="10"/>
      <c r="G45" s="10"/>
      <c r="H45" s="18" t="s">
        <v>133</v>
      </c>
      <c r="I45" s="15"/>
      <c r="J45" s="33"/>
      <c r="K45" s="33"/>
      <c r="L45" s="33"/>
      <c r="M45" s="33"/>
      <c r="N45" s="33"/>
      <c r="O45" s="33"/>
      <c r="P45" s="33"/>
      <c r="Q45" s="33"/>
      <c r="R45" s="33"/>
      <c r="S45" s="33"/>
      <c r="T45" s="33"/>
      <c r="U45" s="33"/>
      <c r="V45" s="33"/>
      <c r="W45" s="33"/>
      <c r="X45" s="33"/>
      <c r="Y45" s="33"/>
      <c r="Z45" s="33"/>
    </row>
    <row r="46" ht="150" spans="1:26">
      <c r="A46" s="15" t="s">
        <v>501</v>
      </c>
      <c r="B46" s="16" t="s">
        <v>502</v>
      </c>
      <c r="C46" s="15" t="s">
        <v>503</v>
      </c>
      <c r="D46" s="16" t="s">
        <v>504</v>
      </c>
      <c r="E46" s="15" t="s">
        <v>505</v>
      </c>
      <c r="F46" s="15" t="s">
        <v>506</v>
      </c>
      <c r="G46" s="15"/>
      <c r="H46" s="18" t="s">
        <v>133</v>
      </c>
      <c r="I46" s="15"/>
      <c r="J46" s="33"/>
      <c r="K46" s="33"/>
      <c r="L46" s="33"/>
      <c r="M46" s="33"/>
      <c r="N46" s="33"/>
      <c r="O46" s="33"/>
      <c r="P46" s="33"/>
      <c r="Q46" s="33"/>
      <c r="R46" s="33"/>
      <c r="S46" s="33"/>
      <c r="T46" s="33"/>
      <c r="U46" s="33"/>
      <c r="V46" s="33"/>
      <c r="W46" s="33"/>
      <c r="X46" s="33"/>
      <c r="Y46" s="33"/>
      <c r="Z46" s="33"/>
    </row>
    <row r="47" ht="50" spans="1:26">
      <c r="A47" s="15" t="s">
        <v>507</v>
      </c>
      <c r="B47" s="19"/>
      <c r="C47" s="15" t="s">
        <v>370</v>
      </c>
      <c r="D47" s="19"/>
      <c r="E47" s="15" t="s">
        <v>508</v>
      </c>
      <c r="F47" s="15" t="s">
        <v>509</v>
      </c>
      <c r="G47" s="15"/>
      <c r="H47" s="18" t="s">
        <v>133</v>
      </c>
      <c r="I47" s="15"/>
      <c r="J47" s="33"/>
      <c r="K47" s="33"/>
      <c r="L47" s="33"/>
      <c r="M47" s="33"/>
      <c r="N47" s="33"/>
      <c r="O47" s="33"/>
      <c r="P47" s="33"/>
      <c r="Q47" s="33"/>
      <c r="R47" s="33"/>
      <c r="S47" s="33"/>
      <c r="T47" s="33"/>
      <c r="U47" s="33"/>
      <c r="V47" s="33"/>
      <c r="W47" s="33"/>
      <c r="X47" s="33"/>
      <c r="Y47" s="33"/>
      <c r="Z47" s="33"/>
    </row>
    <row r="48" ht="50" spans="1:26">
      <c r="A48" s="15" t="s">
        <v>510</v>
      </c>
      <c r="B48" s="19"/>
      <c r="C48" s="15" t="s">
        <v>378</v>
      </c>
      <c r="D48" s="19"/>
      <c r="E48" s="15" t="s">
        <v>511</v>
      </c>
      <c r="F48" s="15" t="s">
        <v>512</v>
      </c>
      <c r="G48" s="15"/>
      <c r="H48" s="18" t="s">
        <v>133</v>
      </c>
      <c r="I48" s="15"/>
      <c r="J48" s="33"/>
      <c r="K48" s="33"/>
      <c r="L48" s="33"/>
      <c r="M48" s="33"/>
      <c r="N48" s="33"/>
      <c r="O48" s="33"/>
      <c r="P48" s="33"/>
      <c r="Q48" s="33"/>
      <c r="R48" s="33"/>
      <c r="S48" s="33"/>
      <c r="T48" s="33"/>
      <c r="U48" s="33"/>
      <c r="V48" s="33"/>
      <c r="W48" s="33"/>
      <c r="X48" s="33"/>
      <c r="Y48" s="33"/>
      <c r="Z48" s="33"/>
    </row>
    <row r="49" ht="50" spans="1:26">
      <c r="A49" s="15" t="s">
        <v>513</v>
      </c>
      <c r="B49" s="19"/>
      <c r="C49" s="15" t="s">
        <v>514</v>
      </c>
      <c r="D49" s="19"/>
      <c r="E49" s="15" t="s">
        <v>515</v>
      </c>
      <c r="F49" s="15" t="s">
        <v>516</v>
      </c>
      <c r="G49" s="15"/>
      <c r="H49" s="18" t="s">
        <v>133</v>
      </c>
      <c r="I49" s="15"/>
      <c r="J49" s="33"/>
      <c r="K49" s="33"/>
      <c r="L49" s="33"/>
      <c r="M49" s="33"/>
      <c r="N49" s="33"/>
      <c r="O49" s="33"/>
      <c r="P49" s="33"/>
      <c r="Q49" s="33"/>
      <c r="R49" s="33"/>
      <c r="S49" s="33"/>
      <c r="T49" s="33"/>
      <c r="U49" s="33"/>
      <c r="V49" s="33"/>
      <c r="W49" s="33"/>
      <c r="X49" s="33"/>
      <c r="Y49" s="33"/>
      <c r="Z49" s="33"/>
    </row>
    <row r="50" ht="50" spans="1:26">
      <c r="A50" s="15" t="s">
        <v>517</v>
      </c>
      <c r="B50" s="19"/>
      <c r="C50" s="15" t="s">
        <v>518</v>
      </c>
      <c r="D50" s="19"/>
      <c r="E50" s="15" t="s">
        <v>519</v>
      </c>
      <c r="F50" s="15" t="s">
        <v>520</v>
      </c>
      <c r="G50" s="15"/>
      <c r="H50" s="18" t="s">
        <v>133</v>
      </c>
      <c r="I50" s="15"/>
      <c r="J50" s="33"/>
      <c r="K50" s="33"/>
      <c r="L50" s="33"/>
      <c r="M50" s="33"/>
      <c r="N50" s="33"/>
      <c r="O50" s="33"/>
      <c r="P50" s="33"/>
      <c r="Q50" s="33"/>
      <c r="R50" s="33"/>
      <c r="S50" s="33"/>
      <c r="T50" s="33"/>
      <c r="U50" s="33"/>
      <c r="V50" s="33"/>
      <c r="W50" s="33"/>
      <c r="X50" s="33"/>
      <c r="Y50" s="33"/>
      <c r="Z50" s="33"/>
    </row>
    <row r="51" ht="50" spans="1:26">
      <c r="A51" s="15" t="s">
        <v>521</v>
      </c>
      <c r="B51" s="19"/>
      <c r="C51" s="15" t="s">
        <v>522</v>
      </c>
      <c r="D51" s="19"/>
      <c r="E51" s="15" t="s">
        <v>523</v>
      </c>
      <c r="F51" s="15" t="s">
        <v>524</v>
      </c>
      <c r="G51" s="15" t="s">
        <v>525</v>
      </c>
      <c r="H51" s="18" t="s">
        <v>134</v>
      </c>
      <c r="I51" s="40" t="s">
        <v>526</v>
      </c>
      <c r="J51" s="33"/>
      <c r="K51" s="33"/>
      <c r="L51" s="33"/>
      <c r="M51" s="33"/>
      <c r="N51" s="33"/>
      <c r="O51" s="33"/>
      <c r="P51" s="33"/>
      <c r="Q51" s="33"/>
      <c r="R51" s="33"/>
      <c r="S51" s="33"/>
      <c r="T51" s="33"/>
      <c r="U51" s="33"/>
      <c r="V51" s="33"/>
      <c r="W51" s="33"/>
      <c r="X51" s="33"/>
      <c r="Y51" s="33"/>
      <c r="Z51" s="33"/>
    </row>
    <row r="52" ht="50" spans="1:26">
      <c r="A52" s="15" t="s">
        <v>527</v>
      </c>
      <c r="B52" s="20"/>
      <c r="C52" s="15" t="s">
        <v>400</v>
      </c>
      <c r="D52" s="20"/>
      <c r="E52" s="15" t="s">
        <v>528</v>
      </c>
      <c r="F52" s="15" t="s">
        <v>529</v>
      </c>
      <c r="G52" s="15" t="s">
        <v>530</v>
      </c>
      <c r="H52" s="18" t="s">
        <v>134</v>
      </c>
      <c r="I52" s="40" t="s">
        <v>531</v>
      </c>
      <c r="J52" s="33"/>
      <c r="K52" s="33"/>
      <c r="L52" s="33"/>
      <c r="M52" s="33"/>
      <c r="N52" s="33"/>
      <c r="O52" s="33"/>
      <c r="P52" s="33"/>
      <c r="Q52" s="33"/>
      <c r="R52" s="33"/>
      <c r="S52" s="33"/>
      <c r="T52" s="33"/>
      <c r="U52" s="33"/>
      <c r="V52" s="33"/>
      <c r="W52" s="33"/>
      <c r="X52" s="33"/>
      <c r="Y52" s="33"/>
      <c r="Z52" s="33"/>
    </row>
    <row r="53" ht="50" spans="1:26">
      <c r="A53" s="15" t="s">
        <v>532</v>
      </c>
      <c r="B53" s="16" t="s">
        <v>533</v>
      </c>
      <c r="C53" s="15" t="s">
        <v>534</v>
      </c>
      <c r="D53" s="39" t="s">
        <v>472</v>
      </c>
      <c r="E53" s="15" t="s">
        <v>535</v>
      </c>
      <c r="F53" s="15" t="s">
        <v>536</v>
      </c>
      <c r="G53" s="15"/>
      <c r="H53" s="18" t="s">
        <v>133</v>
      </c>
      <c r="I53" s="41"/>
      <c r="J53" s="33"/>
      <c r="K53" s="33"/>
      <c r="L53" s="33"/>
      <c r="M53" s="33"/>
      <c r="N53" s="33"/>
      <c r="O53" s="33"/>
      <c r="P53" s="33"/>
      <c r="Q53" s="33"/>
      <c r="R53" s="33"/>
      <c r="S53" s="33"/>
      <c r="T53" s="33"/>
      <c r="U53" s="33"/>
      <c r="V53" s="33"/>
      <c r="W53" s="33"/>
      <c r="X53" s="33"/>
      <c r="Y53" s="33"/>
      <c r="Z53" s="33"/>
    </row>
    <row r="54" ht="50" spans="1:26">
      <c r="A54" s="15" t="s">
        <v>537</v>
      </c>
      <c r="B54" s="19"/>
      <c r="C54" s="15" t="s">
        <v>396</v>
      </c>
      <c r="D54" s="8"/>
      <c r="E54" s="15" t="s">
        <v>538</v>
      </c>
      <c r="F54" s="15" t="s">
        <v>524</v>
      </c>
      <c r="G54" s="15" t="s">
        <v>525</v>
      </c>
      <c r="H54" s="18" t="s">
        <v>134</v>
      </c>
      <c r="I54" s="40" t="s">
        <v>539</v>
      </c>
      <c r="J54" s="33"/>
      <c r="K54" s="33"/>
      <c r="L54" s="33"/>
      <c r="M54" s="33"/>
      <c r="N54" s="33"/>
      <c r="O54" s="33"/>
      <c r="P54" s="33"/>
      <c r="Q54" s="33"/>
      <c r="R54" s="33"/>
      <c r="S54" s="33"/>
      <c r="T54" s="33"/>
      <c r="U54" s="33"/>
      <c r="V54" s="33"/>
      <c r="W54" s="33"/>
      <c r="X54" s="33"/>
      <c r="Y54" s="33"/>
      <c r="Z54" s="33"/>
    </row>
    <row r="55" ht="50" spans="1:26">
      <c r="A55" s="15" t="s">
        <v>540</v>
      </c>
      <c r="B55" s="20"/>
      <c r="C55" s="15" t="s">
        <v>400</v>
      </c>
      <c r="D55" s="10"/>
      <c r="E55" s="15" t="s">
        <v>541</v>
      </c>
      <c r="F55" s="15" t="s">
        <v>542</v>
      </c>
      <c r="G55" s="15" t="s">
        <v>543</v>
      </c>
      <c r="H55" s="18" t="s">
        <v>134</v>
      </c>
      <c r="I55" s="40" t="s">
        <v>544</v>
      </c>
      <c r="J55" s="33"/>
      <c r="K55" s="33"/>
      <c r="L55" s="33"/>
      <c r="M55" s="33"/>
      <c r="N55" s="33"/>
      <c r="O55" s="33"/>
      <c r="P55" s="33"/>
      <c r="Q55" s="33"/>
      <c r="R55" s="33"/>
      <c r="S55" s="33"/>
      <c r="T55" s="33"/>
      <c r="U55" s="33"/>
      <c r="V55" s="33"/>
      <c r="W55" s="33"/>
      <c r="X55" s="33"/>
      <c r="Y55" s="33"/>
      <c r="Z55" s="33"/>
    </row>
    <row r="56" ht="75" spans="1:26">
      <c r="A56" s="15" t="s">
        <v>545</v>
      </c>
      <c r="B56" s="16" t="s">
        <v>546</v>
      </c>
      <c r="C56" s="15" t="s">
        <v>547</v>
      </c>
      <c r="D56" s="16" t="s">
        <v>548</v>
      </c>
      <c r="E56" s="15" t="s">
        <v>549</v>
      </c>
      <c r="F56" s="15" t="s">
        <v>550</v>
      </c>
      <c r="G56" s="15"/>
      <c r="H56" s="18" t="s">
        <v>133</v>
      </c>
      <c r="I56" s="15"/>
      <c r="J56" s="33"/>
      <c r="K56" s="33"/>
      <c r="L56" s="33"/>
      <c r="M56" s="33"/>
      <c r="N56" s="33"/>
      <c r="O56" s="33"/>
      <c r="P56" s="33"/>
      <c r="Q56" s="33"/>
      <c r="R56" s="33"/>
      <c r="S56" s="33"/>
      <c r="T56" s="33"/>
      <c r="U56" s="33"/>
      <c r="V56" s="33"/>
      <c r="W56" s="33"/>
      <c r="X56" s="33"/>
      <c r="Y56" s="33"/>
      <c r="Z56" s="33"/>
    </row>
    <row r="57" ht="87.5" spans="1:26">
      <c r="A57" s="15" t="s">
        <v>551</v>
      </c>
      <c r="B57" s="19"/>
      <c r="C57" s="15" t="s">
        <v>552</v>
      </c>
      <c r="D57" s="19"/>
      <c r="E57" s="15" t="s">
        <v>553</v>
      </c>
      <c r="F57" s="15" t="s">
        <v>554</v>
      </c>
      <c r="G57" s="15" t="s">
        <v>555</v>
      </c>
      <c r="H57" s="18" t="s">
        <v>136</v>
      </c>
      <c r="I57" s="15"/>
      <c r="J57" s="33"/>
      <c r="K57" s="33"/>
      <c r="L57" s="33"/>
      <c r="M57" s="33"/>
      <c r="N57" s="33"/>
      <c r="O57" s="33"/>
      <c r="P57" s="33"/>
      <c r="Q57" s="33"/>
      <c r="R57" s="33"/>
      <c r="S57" s="33"/>
      <c r="T57" s="33"/>
      <c r="U57" s="33"/>
      <c r="V57" s="33"/>
      <c r="W57" s="33"/>
      <c r="X57" s="33"/>
      <c r="Y57" s="33"/>
      <c r="Z57" s="33"/>
    </row>
    <row r="58" ht="75" spans="1:26">
      <c r="A58" s="15" t="s">
        <v>556</v>
      </c>
      <c r="B58" s="19"/>
      <c r="C58" s="15" t="s">
        <v>557</v>
      </c>
      <c r="D58" s="19"/>
      <c r="E58" s="15" t="s">
        <v>558</v>
      </c>
      <c r="F58" s="15" t="s">
        <v>554</v>
      </c>
      <c r="G58" s="15" t="s">
        <v>559</v>
      </c>
      <c r="H58" s="18" t="s">
        <v>136</v>
      </c>
      <c r="I58" s="15"/>
      <c r="J58" s="33"/>
      <c r="K58" s="33"/>
      <c r="L58" s="33"/>
      <c r="M58" s="33"/>
      <c r="N58" s="33"/>
      <c r="O58" s="33"/>
      <c r="P58" s="33"/>
      <c r="Q58" s="33"/>
      <c r="R58" s="33"/>
      <c r="S58" s="33"/>
      <c r="T58" s="33"/>
      <c r="U58" s="33"/>
      <c r="V58" s="33"/>
      <c r="W58" s="33"/>
      <c r="X58" s="33"/>
      <c r="Y58" s="33"/>
      <c r="Z58" s="33"/>
    </row>
    <row r="59" ht="75" spans="1:26">
      <c r="A59" s="15" t="s">
        <v>560</v>
      </c>
      <c r="B59" s="19"/>
      <c r="C59" s="15" t="s">
        <v>561</v>
      </c>
      <c r="D59" s="19"/>
      <c r="E59" s="15" t="s">
        <v>562</v>
      </c>
      <c r="F59" s="15" t="s">
        <v>554</v>
      </c>
      <c r="G59" s="15" t="s">
        <v>563</v>
      </c>
      <c r="H59" s="18" t="s">
        <v>136</v>
      </c>
      <c r="I59" s="15"/>
      <c r="J59" s="33"/>
      <c r="K59" s="33"/>
      <c r="L59" s="33"/>
      <c r="M59" s="33"/>
      <c r="N59" s="33"/>
      <c r="O59" s="33"/>
      <c r="P59" s="33"/>
      <c r="Q59" s="33"/>
      <c r="R59" s="33"/>
      <c r="S59" s="33"/>
      <c r="T59" s="33"/>
      <c r="U59" s="33"/>
      <c r="V59" s="33"/>
      <c r="W59" s="33"/>
      <c r="X59" s="33"/>
      <c r="Y59" s="33"/>
      <c r="Z59" s="33"/>
    </row>
    <row r="60" ht="75" spans="1:26">
      <c r="A60" s="15" t="s">
        <v>564</v>
      </c>
      <c r="B60" s="20"/>
      <c r="C60" s="15" t="s">
        <v>565</v>
      </c>
      <c r="D60" s="20"/>
      <c r="E60" s="15" t="s">
        <v>566</v>
      </c>
      <c r="F60" s="15" t="s">
        <v>567</v>
      </c>
      <c r="G60" s="15"/>
      <c r="H60" s="18" t="s">
        <v>133</v>
      </c>
      <c r="I60" s="15"/>
      <c r="J60" s="33"/>
      <c r="K60" s="33"/>
      <c r="L60" s="33"/>
      <c r="M60" s="33"/>
      <c r="N60" s="33"/>
      <c r="O60" s="33"/>
      <c r="P60" s="33"/>
      <c r="Q60" s="33"/>
      <c r="R60" s="33"/>
      <c r="S60" s="33"/>
      <c r="T60" s="33"/>
      <c r="U60" s="33"/>
      <c r="V60" s="33"/>
      <c r="W60" s="33"/>
      <c r="X60" s="33"/>
      <c r="Y60" s="33"/>
      <c r="Z60" s="33"/>
    </row>
    <row r="61" ht="75" spans="1:26">
      <c r="A61" s="15" t="s">
        <v>568</v>
      </c>
      <c r="B61" s="16" t="s">
        <v>569</v>
      </c>
      <c r="C61" s="15" t="s">
        <v>570</v>
      </c>
      <c r="D61" s="16" t="s">
        <v>472</v>
      </c>
      <c r="E61" s="15" t="s">
        <v>571</v>
      </c>
      <c r="F61" s="15" t="s">
        <v>572</v>
      </c>
      <c r="G61" s="15" t="s">
        <v>525</v>
      </c>
      <c r="H61" s="18" t="s">
        <v>134</v>
      </c>
      <c r="I61" s="40" t="s">
        <v>573</v>
      </c>
      <c r="J61" s="33"/>
      <c r="K61" s="33"/>
      <c r="L61" s="33"/>
      <c r="M61" s="33"/>
      <c r="N61" s="33"/>
      <c r="O61" s="33"/>
      <c r="P61" s="33"/>
      <c r="Q61" s="33"/>
      <c r="R61" s="33"/>
      <c r="S61" s="33"/>
      <c r="T61" s="33"/>
      <c r="U61" s="33"/>
      <c r="V61" s="33"/>
      <c r="W61" s="33"/>
      <c r="X61" s="33"/>
      <c r="Y61" s="33"/>
      <c r="Z61" s="33"/>
    </row>
    <row r="62" ht="75" spans="1:26">
      <c r="A62" s="15" t="s">
        <v>574</v>
      </c>
      <c r="B62" s="19"/>
      <c r="C62" s="23" t="s">
        <v>575</v>
      </c>
      <c r="D62" s="19"/>
      <c r="E62" s="23" t="s">
        <v>576</v>
      </c>
      <c r="F62" s="15" t="s">
        <v>577</v>
      </c>
      <c r="G62" s="15"/>
      <c r="H62" s="18" t="s">
        <v>133</v>
      </c>
      <c r="I62" s="30"/>
      <c r="J62" s="28"/>
      <c r="K62" s="28"/>
      <c r="L62" s="28"/>
      <c r="M62" s="28"/>
      <c r="N62" s="28"/>
      <c r="O62" s="28"/>
      <c r="P62" s="28"/>
      <c r="Q62" s="28"/>
      <c r="R62" s="28"/>
      <c r="S62" s="28"/>
      <c r="T62" s="28"/>
      <c r="U62" s="28"/>
      <c r="V62" s="28"/>
      <c r="W62" s="28"/>
      <c r="X62" s="28"/>
      <c r="Y62" s="28"/>
      <c r="Z62" s="28"/>
    </row>
    <row r="63" ht="75" spans="1:26">
      <c r="A63" s="15" t="s">
        <v>578</v>
      </c>
      <c r="B63" s="20"/>
      <c r="C63" s="23" t="s">
        <v>579</v>
      </c>
      <c r="D63" s="20"/>
      <c r="E63" s="23" t="s">
        <v>580</v>
      </c>
      <c r="F63" s="15" t="s">
        <v>572</v>
      </c>
      <c r="G63" s="30" t="s">
        <v>525</v>
      </c>
      <c r="H63" s="18" t="s">
        <v>134</v>
      </c>
      <c r="I63" s="40" t="s">
        <v>581</v>
      </c>
      <c r="J63" s="28"/>
      <c r="K63" s="28"/>
      <c r="L63" s="28"/>
      <c r="M63" s="28"/>
      <c r="N63" s="28"/>
      <c r="O63" s="28"/>
      <c r="P63" s="28"/>
      <c r="Q63" s="28"/>
      <c r="R63" s="28"/>
      <c r="S63" s="28"/>
      <c r="T63" s="28"/>
      <c r="U63" s="28"/>
      <c r="V63" s="28"/>
      <c r="W63" s="28"/>
      <c r="X63" s="28"/>
      <c r="Y63" s="28"/>
      <c r="Z63" s="28"/>
    </row>
    <row r="64" ht="75" spans="1:26">
      <c r="A64" s="15" t="s">
        <v>582</v>
      </c>
      <c r="B64" s="16" t="s">
        <v>583</v>
      </c>
      <c r="C64" s="15" t="s">
        <v>584</v>
      </c>
      <c r="D64" s="16" t="s">
        <v>472</v>
      </c>
      <c r="E64" s="23" t="s">
        <v>585</v>
      </c>
      <c r="F64" s="15" t="s">
        <v>586</v>
      </c>
      <c r="G64" s="30" t="s">
        <v>525</v>
      </c>
      <c r="H64" s="18" t="s">
        <v>134</v>
      </c>
      <c r="I64" s="40" t="s">
        <v>587</v>
      </c>
      <c r="J64" s="33"/>
      <c r="K64" s="33"/>
      <c r="L64" s="33"/>
      <c r="M64" s="33"/>
      <c r="N64" s="33"/>
      <c r="O64" s="33"/>
      <c r="P64" s="33"/>
      <c r="Q64" s="33"/>
      <c r="R64" s="33"/>
      <c r="S64" s="33"/>
      <c r="T64" s="33"/>
      <c r="U64" s="33"/>
      <c r="V64" s="33"/>
      <c r="W64" s="33"/>
      <c r="X64" s="33"/>
      <c r="Y64" s="33"/>
      <c r="Z64" s="33"/>
    </row>
    <row r="65" ht="75" spans="1:26">
      <c r="A65" s="15" t="s">
        <v>588</v>
      </c>
      <c r="B65" s="19"/>
      <c r="C65" s="15" t="s">
        <v>589</v>
      </c>
      <c r="D65" s="19"/>
      <c r="E65" s="23" t="s">
        <v>590</v>
      </c>
      <c r="F65" s="15" t="s">
        <v>591</v>
      </c>
      <c r="G65" s="30" t="s">
        <v>525</v>
      </c>
      <c r="H65" s="18" t="s">
        <v>134</v>
      </c>
      <c r="I65" s="40" t="s">
        <v>592</v>
      </c>
      <c r="J65" s="33"/>
      <c r="K65" s="33"/>
      <c r="L65" s="33"/>
      <c r="M65" s="33"/>
      <c r="N65" s="33"/>
      <c r="O65" s="33"/>
      <c r="P65" s="33"/>
      <c r="Q65" s="33"/>
      <c r="R65" s="33"/>
      <c r="S65" s="33"/>
      <c r="T65" s="33"/>
      <c r="U65" s="33"/>
      <c r="V65" s="33"/>
      <c r="W65" s="33"/>
      <c r="X65" s="33"/>
      <c r="Y65" s="33"/>
      <c r="Z65" s="33"/>
    </row>
    <row r="66" ht="75" spans="1:26">
      <c r="A66" s="15" t="s">
        <v>593</v>
      </c>
      <c r="B66" s="19"/>
      <c r="C66" s="15" t="s">
        <v>594</v>
      </c>
      <c r="D66" s="19"/>
      <c r="E66" s="23" t="s">
        <v>595</v>
      </c>
      <c r="F66" s="15" t="s">
        <v>596</v>
      </c>
      <c r="G66" s="30" t="s">
        <v>525</v>
      </c>
      <c r="H66" s="18" t="s">
        <v>134</v>
      </c>
      <c r="I66" s="40" t="s">
        <v>597</v>
      </c>
      <c r="J66" s="33"/>
      <c r="K66" s="33"/>
      <c r="L66" s="33"/>
      <c r="M66" s="33"/>
      <c r="N66" s="33"/>
      <c r="O66" s="33"/>
      <c r="P66" s="33"/>
      <c r="Q66" s="33"/>
      <c r="R66" s="33"/>
      <c r="S66" s="33"/>
      <c r="T66" s="33"/>
      <c r="U66" s="33"/>
      <c r="V66" s="33"/>
      <c r="W66" s="33"/>
      <c r="X66" s="33"/>
      <c r="Y66" s="33"/>
      <c r="Z66" s="33"/>
    </row>
    <row r="67" ht="75" spans="1:26">
      <c r="A67" s="15" t="s">
        <v>598</v>
      </c>
      <c r="B67" s="19"/>
      <c r="C67" s="15" t="s">
        <v>599</v>
      </c>
      <c r="D67" s="19"/>
      <c r="E67" s="23" t="s">
        <v>600</v>
      </c>
      <c r="F67" s="15" t="s">
        <v>601</v>
      </c>
      <c r="G67" s="30"/>
      <c r="H67" s="18" t="s">
        <v>133</v>
      </c>
      <c r="I67" s="40"/>
      <c r="J67" s="33"/>
      <c r="K67" s="33"/>
      <c r="L67" s="33"/>
      <c r="M67" s="33"/>
      <c r="N67" s="33"/>
      <c r="O67" s="33"/>
      <c r="P67" s="33"/>
      <c r="Q67" s="33"/>
      <c r="R67" s="33"/>
      <c r="S67" s="33"/>
      <c r="T67" s="33"/>
      <c r="U67" s="33"/>
      <c r="V67" s="33"/>
      <c r="W67" s="33"/>
      <c r="X67" s="33"/>
      <c r="Y67" s="33"/>
      <c r="Z67" s="33"/>
    </row>
    <row r="68" ht="75" spans="1:26">
      <c r="A68" s="15" t="s">
        <v>602</v>
      </c>
      <c r="B68" s="19"/>
      <c r="C68" s="15" t="s">
        <v>603</v>
      </c>
      <c r="D68" s="20"/>
      <c r="E68" s="23" t="s">
        <v>604</v>
      </c>
      <c r="F68" s="15" t="s">
        <v>605</v>
      </c>
      <c r="G68" s="23"/>
      <c r="H68" s="18" t="s">
        <v>133</v>
      </c>
      <c r="I68" s="15"/>
      <c r="J68" s="33"/>
      <c r="K68" s="33"/>
      <c r="L68" s="33"/>
      <c r="M68" s="33"/>
      <c r="N68" s="33"/>
      <c r="O68" s="33"/>
      <c r="P68" s="33"/>
      <c r="Q68" s="33"/>
      <c r="R68" s="33"/>
      <c r="S68" s="33"/>
      <c r="T68" s="33"/>
      <c r="U68" s="33"/>
      <c r="V68" s="33"/>
      <c r="W68" s="33"/>
      <c r="X68" s="33"/>
      <c r="Y68" s="33"/>
      <c r="Z68" s="33"/>
    </row>
    <row r="69" ht="175" spans="1:26">
      <c r="A69" s="15" t="s">
        <v>606</v>
      </c>
      <c r="B69" s="19"/>
      <c r="C69" s="15" t="s">
        <v>607</v>
      </c>
      <c r="D69" s="15" t="s">
        <v>608</v>
      </c>
      <c r="E69" s="23" t="s">
        <v>609</v>
      </c>
      <c r="F69" s="15" t="s">
        <v>605</v>
      </c>
      <c r="G69" s="30" t="s">
        <v>525</v>
      </c>
      <c r="H69" s="18" t="s">
        <v>134</v>
      </c>
      <c r="I69" s="40" t="s">
        <v>610</v>
      </c>
      <c r="J69" s="33"/>
      <c r="K69" s="33"/>
      <c r="L69" s="33"/>
      <c r="M69" s="33"/>
      <c r="N69" s="33"/>
      <c r="O69" s="33"/>
      <c r="P69" s="33"/>
      <c r="Q69" s="33"/>
      <c r="R69" s="33"/>
      <c r="S69" s="33"/>
      <c r="T69" s="33"/>
      <c r="U69" s="33"/>
      <c r="V69" s="33"/>
      <c r="W69" s="33"/>
      <c r="X69" s="33"/>
      <c r="Y69" s="33"/>
      <c r="Z69" s="33"/>
    </row>
    <row r="70" ht="125" spans="1:26">
      <c r="A70" s="15" t="s">
        <v>611</v>
      </c>
      <c r="B70" s="20"/>
      <c r="C70" s="15" t="s">
        <v>612</v>
      </c>
      <c r="D70" s="15" t="s">
        <v>613</v>
      </c>
      <c r="E70" s="23" t="s">
        <v>614</v>
      </c>
      <c r="F70" s="15" t="s">
        <v>615</v>
      </c>
      <c r="G70" s="23" t="s">
        <v>616</v>
      </c>
      <c r="H70" s="18" t="s">
        <v>134</v>
      </c>
      <c r="I70" s="40" t="s">
        <v>617</v>
      </c>
      <c r="J70" s="33"/>
      <c r="K70" s="33"/>
      <c r="L70" s="33"/>
      <c r="M70" s="33"/>
      <c r="N70" s="33"/>
      <c r="O70" s="33"/>
      <c r="P70" s="33"/>
      <c r="Q70" s="33"/>
      <c r="R70" s="33"/>
      <c r="S70" s="33"/>
      <c r="T70" s="33"/>
      <c r="U70" s="33"/>
      <c r="V70" s="33"/>
      <c r="W70" s="33"/>
      <c r="X70" s="33"/>
      <c r="Y70" s="33"/>
      <c r="Z70" s="33"/>
    </row>
    <row r="71" ht="37.5" spans="1:26">
      <c r="A71" s="15" t="s">
        <v>618</v>
      </c>
      <c r="B71" s="24" t="s">
        <v>619</v>
      </c>
      <c r="C71" s="22"/>
      <c r="D71" s="42" t="s">
        <v>472</v>
      </c>
      <c r="E71" s="23" t="s">
        <v>620</v>
      </c>
      <c r="F71" s="15" t="s">
        <v>621</v>
      </c>
      <c r="G71" s="15" t="s">
        <v>622</v>
      </c>
      <c r="H71" s="18" t="s">
        <v>134</v>
      </c>
      <c r="I71" s="40" t="s">
        <v>623</v>
      </c>
      <c r="J71" s="33"/>
      <c r="K71" s="33"/>
      <c r="L71" s="33"/>
      <c r="M71" s="33"/>
      <c r="N71" s="33"/>
      <c r="O71" s="33"/>
      <c r="P71" s="33"/>
      <c r="Q71" s="33"/>
      <c r="R71" s="33"/>
      <c r="S71" s="33"/>
      <c r="T71" s="33"/>
      <c r="U71" s="33"/>
      <c r="V71" s="33"/>
      <c r="W71" s="33"/>
      <c r="X71" s="33"/>
      <c r="Y71" s="33"/>
      <c r="Z71" s="33"/>
    </row>
    <row r="72" ht="37.5" spans="1:26">
      <c r="A72" s="15" t="s">
        <v>624</v>
      </c>
      <c r="B72" s="24" t="s">
        <v>625</v>
      </c>
      <c r="C72" s="22"/>
      <c r="D72" s="42" t="s">
        <v>472</v>
      </c>
      <c r="E72" s="23" t="s">
        <v>626</v>
      </c>
      <c r="F72" s="16" t="s">
        <v>627</v>
      </c>
      <c r="G72" s="15" t="s">
        <v>628</v>
      </c>
      <c r="H72" s="18" t="s">
        <v>134</v>
      </c>
      <c r="I72" s="40" t="s">
        <v>629</v>
      </c>
      <c r="J72" s="33"/>
      <c r="K72" s="33"/>
      <c r="L72" s="33"/>
      <c r="M72" s="33"/>
      <c r="N72" s="33"/>
      <c r="O72" s="33"/>
      <c r="P72" s="33"/>
      <c r="Q72" s="33"/>
      <c r="R72" s="33"/>
      <c r="S72" s="33"/>
      <c r="T72" s="33"/>
      <c r="U72" s="33"/>
      <c r="V72" s="33"/>
      <c r="W72" s="33"/>
      <c r="X72" s="33"/>
      <c r="Y72" s="33"/>
      <c r="Z72" s="33"/>
    </row>
    <row r="73" ht="37.5" spans="1:26">
      <c r="A73" s="15" t="s">
        <v>630</v>
      </c>
      <c r="B73" s="24" t="s">
        <v>631</v>
      </c>
      <c r="C73" s="22"/>
      <c r="D73" s="42" t="s">
        <v>472</v>
      </c>
      <c r="E73" s="23" t="s">
        <v>632</v>
      </c>
      <c r="F73" s="19"/>
      <c r="G73" s="15" t="s">
        <v>628</v>
      </c>
      <c r="H73" s="18" t="s">
        <v>134</v>
      </c>
      <c r="I73" s="40" t="s">
        <v>629</v>
      </c>
      <c r="J73" s="33"/>
      <c r="K73" s="33"/>
      <c r="L73" s="33"/>
      <c r="M73" s="33"/>
      <c r="N73" s="33"/>
      <c r="O73" s="33"/>
      <c r="P73" s="33"/>
      <c r="Q73" s="33"/>
      <c r="R73" s="33"/>
      <c r="S73" s="33"/>
      <c r="T73" s="33"/>
      <c r="U73" s="33"/>
      <c r="V73" s="33"/>
      <c r="W73" s="33"/>
      <c r="X73" s="33"/>
      <c r="Y73" s="33"/>
      <c r="Z73" s="33"/>
    </row>
    <row r="74" ht="37.5" spans="1:26">
      <c r="A74" s="15" t="s">
        <v>633</v>
      </c>
      <c r="B74" s="24" t="s">
        <v>634</v>
      </c>
      <c r="C74" s="22"/>
      <c r="D74" s="42" t="s">
        <v>472</v>
      </c>
      <c r="E74" s="23" t="s">
        <v>635</v>
      </c>
      <c r="F74" s="20"/>
      <c r="G74" s="15" t="s">
        <v>628</v>
      </c>
      <c r="H74" s="18" t="s">
        <v>134</v>
      </c>
      <c r="I74" s="40" t="s">
        <v>629</v>
      </c>
      <c r="J74" s="33"/>
      <c r="K74" s="33"/>
      <c r="L74" s="33"/>
      <c r="M74" s="33"/>
      <c r="N74" s="33"/>
      <c r="O74" s="33"/>
      <c r="P74" s="33"/>
      <c r="Q74" s="33"/>
      <c r="R74" s="33"/>
      <c r="S74" s="33"/>
      <c r="T74" s="33"/>
      <c r="U74" s="33"/>
      <c r="V74" s="33"/>
      <c r="W74" s="33"/>
      <c r="X74" s="33"/>
      <c r="Y74" s="33"/>
      <c r="Z74" s="33"/>
    </row>
    <row r="75" ht="50" spans="1:26">
      <c r="A75" s="15" t="s">
        <v>636</v>
      </c>
      <c r="B75" s="24" t="s">
        <v>637</v>
      </c>
      <c r="C75" s="22"/>
      <c r="D75" s="15" t="s">
        <v>638</v>
      </c>
      <c r="E75" s="15" t="s">
        <v>639</v>
      </c>
      <c r="F75" s="15" t="s">
        <v>640</v>
      </c>
      <c r="G75" s="15"/>
      <c r="H75" s="18" t="s">
        <v>133</v>
      </c>
      <c r="I75" s="15"/>
      <c r="J75" s="33"/>
      <c r="K75" s="33"/>
      <c r="L75" s="33"/>
      <c r="M75" s="33"/>
      <c r="N75" s="33"/>
      <c r="O75" s="33"/>
      <c r="P75" s="33"/>
      <c r="Q75" s="33"/>
      <c r="R75" s="33"/>
      <c r="S75" s="33"/>
      <c r="T75" s="33"/>
      <c r="U75" s="33"/>
      <c r="V75" s="33"/>
      <c r="W75" s="33"/>
      <c r="X75" s="33"/>
      <c r="Y75" s="33"/>
      <c r="Z75" s="33"/>
    </row>
    <row r="76" ht="50" spans="1:26">
      <c r="A76" s="15" t="s">
        <v>641</v>
      </c>
      <c r="B76" s="24" t="s">
        <v>642</v>
      </c>
      <c r="C76" s="22"/>
      <c r="D76" s="42" t="s">
        <v>472</v>
      </c>
      <c r="E76" s="23" t="s">
        <v>643</v>
      </c>
      <c r="F76" s="15" t="s">
        <v>644</v>
      </c>
      <c r="G76" s="15"/>
      <c r="H76" s="18" t="s">
        <v>133</v>
      </c>
      <c r="I76" s="15"/>
      <c r="J76" s="33"/>
      <c r="K76" s="33"/>
      <c r="L76" s="33"/>
      <c r="M76" s="33"/>
      <c r="N76" s="33"/>
      <c r="O76" s="33"/>
      <c r="P76" s="33"/>
      <c r="Q76" s="33"/>
      <c r="R76" s="33"/>
      <c r="S76" s="33"/>
      <c r="T76" s="33"/>
      <c r="U76" s="33"/>
      <c r="V76" s="33"/>
      <c r="W76" s="33"/>
      <c r="X76" s="33"/>
      <c r="Y76" s="33"/>
      <c r="Z76" s="33"/>
    </row>
    <row r="77" ht="62.5" spans="1:26">
      <c r="A77" s="15" t="s">
        <v>645</v>
      </c>
      <c r="B77" s="24" t="s">
        <v>646</v>
      </c>
      <c r="C77" s="22"/>
      <c r="D77" s="42" t="s">
        <v>472</v>
      </c>
      <c r="E77" s="23" t="s">
        <v>647</v>
      </c>
      <c r="F77" s="15" t="s">
        <v>648</v>
      </c>
      <c r="G77" s="15"/>
      <c r="H77" s="18" t="s">
        <v>133</v>
      </c>
      <c r="I77" s="15"/>
      <c r="J77" s="33"/>
      <c r="K77" s="33"/>
      <c r="L77" s="33"/>
      <c r="M77" s="33"/>
      <c r="N77" s="33"/>
      <c r="O77" s="33"/>
      <c r="P77" s="33"/>
      <c r="Q77" s="33"/>
      <c r="R77" s="33"/>
      <c r="S77" s="33"/>
      <c r="T77" s="33"/>
      <c r="U77" s="33"/>
      <c r="V77" s="33"/>
      <c r="W77" s="33"/>
      <c r="X77" s="33"/>
      <c r="Y77" s="33"/>
      <c r="Z77" s="33"/>
    </row>
    <row r="78" ht="87.5" spans="1:26">
      <c r="A78" s="15" t="s">
        <v>649</v>
      </c>
      <c r="B78" s="24" t="s">
        <v>650</v>
      </c>
      <c r="C78" s="22"/>
      <c r="D78" s="42" t="s">
        <v>472</v>
      </c>
      <c r="E78" s="23" t="s">
        <v>651</v>
      </c>
      <c r="F78" s="15" t="s">
        <v>652</v>
      </c>
      <c r="G78" s="15" t="s">
        <v>653</v>
      </c>
      <c r="H78" s="18" t="s">
        <v>134</v>
      </c>
      <c r="I78" s="40" t="s">
        <v>654</v>
      </c>
      <c r="J78" s="33"/>
      <c r="K78" s="33"/>
      <c r="L78" s="33"/>
      <c r="M78" s="33"/>
      <c r="N78" s="33"/>
      <c r="O78" s="33"/>
      <c r="P78" s="33"/>
      <c r="Q78" s="33"/>
      <c r="R78" s="33"/>
      <c r="S78" s="33"/>
      <c r="T78" s="33"/>
      <c r="U78" s="33"/>
      <c r="V78" s="33"/>
      <c r="W78" s="33"/>
      <c r="X78" s="33"/>
      <c r="Y78" s="33"/>
      <c r="Z78" s="33"/>
    </row>
    <row r="79" ht="13" spans="1:26">
      <c r="A79" s="34" t="s">
        <v>409</v>
      </c>
      <c r="B79" s="14"/>
      <c r="C79" s="14"/>
      <c r="D79" s="14"/>
      <c r="E79" s="14"/>
      <c r="F79" s="14"/>
      <c r="G79" s="14"/>
      <c r="H79" s="14"/>
      <c r="I79" s="22"/>
      <c r="J79" s="33"/>
      <c r="K79" s="33"/>
      <c r="L79" s="33"/>
      <c r="M79" s="33"/>
      <c r="N79" s="33"/>
      <c r="O79" s="33"/>
      <c r="P79" s="33"/>
      <c r="Q79" s="33"/>
      <c r="R79" s="33"/>
      <c r="S79" s="33"/>
      <c r="T79" s="33"/>
      <c r="U79" s="33"/>
      <c r="V79" s="33"/>
      <c r="W79" s="33"/>
      <c r="X79" s="33"/>
      <c r="Y79" s="33"/>
      <c r="Z79" s="33"/>
    </row>
    <row r="80" ht="50" spans="1:26">
      <c r="A80" s="15" t="s">
        <v>655</v>
      </c>
      <c r="B80" s="24" t="s">
        <v>656</v>
      </c>
      <c r="C80" s="22"/>
      <c r="D80" s="15" t="s">
        <v>638</v>
      </c>
      <c r="E80" s="15" t="s">
        <v>657</v>
      </c>
      <c r="F80" s="15" t="s">
        <v>658</v>
      </c>
      <c r="G80" s="15" t="s">
        <v>659</v>
      </c>
      <c r="H80" s="18" t="s">
        <v>134</v>
      </c>
      <c r="I80" s="40" t="s">
        <v>660</v>
      </c>
      <c r="J80" s="33"/>
      <c r="K80" s="33"/>
      <c r="L80" s="33"/>
      <c r="M80" s="33"/>
      <c r="N80" s="33"/>
      <c r="O80" s="33"/>
      <c r="P80" s="33"/>
      <c r="Q80" s="33"/>
      <c r="R80" s="33"/>
      <c r="S80" s="33"/>
      <c r="T80" s="33"/>
      <c r="U80" s="33"/>
      <c r="V80" s="33"/>
      <c r="W80" s="33"/>
      <c r="X80" s="33"/>
      <c r="Y80" s="33"/>
      <c r="Z80" s="33"/>
    </row>
    <row r="81" ht="62.5" spans="1:26">
      <c r="A81" s="15" t="s">
        <v>661</v>
      </c>
      <c r="B81" s="24" t="s">
        <v>662</v>
      </c>
      <c r="C81" s="22"/>
      <c r="D81" s="15" t="s">
        <v>638</v>
      </c>
      <c r="E81" s="15" t="s">
        <v>663</v>
      </c>
      <c r="F81" s="15" t="s">
        <v>664</v>
      </c>
      <c r="G81" s="15" t="s">
        <v>665</v>
      </c>
      <c r="H81" s="18" t="s">
        <v>134</v>
      </c>
      <c r="I81" s="40" t="s">
        <v>666</v>
      </c>
      <c r="J81" s="33"/>
      <c r="K81" s="33"/>
      <c r="L81" s="33"/>
      <c r="M81" s="33"/>
      <c r="N81" s="33"/>
      <c r="O81" s="33"/>
      <c r="P81" s="33"/>
      <c r="Q81" s="33"/>
      <c r="R81" s="33"/>
      <c r="S81" s="33"/>
      <c r="T81" s="33"/>
      <c r="U81" s="33"/>
      <c r="V81" s="33"/>
      <c r="W81" s="33"/>
      <c r="X81" s="33"/>
      <c r="Y81" s="33"/>
      <c r="Z81" s="33"/>
    </row>
    <row r="82" ht="25" spans="1:26">
      <c r="A82" s="15" t="s">
        <v>667</v>
      </c>
      <c r="B82" s="24" t="s">
        <v>668</v>
      </c>
      <c r="C82" s="22"/>
      <c r="D82" s="15" t="s">
        <v>638</v>
      </c>
      <c r="E82" s="15" t="s">
        <v>669</v>
      </c>
      <c r="F82" s="15" t="s">
        <v>670</v>
      </c>
      <c r="G82" s="15" t="s">
        <v>671</v>
      </c>
      <c r="H82" s="18" t="s">
        <v>136</v>
      </c>
      <c r="I82" s="15"/>
      <c r="J82" s="33"/>
      <c r="K82" s="33"/>
      <c r="L82" s="33"/>
      <c r="M82" s="33"/>
      <c r="N82" s="33"/>
      <c r="O82" s="33"/>
      <c r="P82" s="33"/>
      <c r="Q82" s="33"/>
      <c r="R82" s="33"/>
      <c r="S82" s="33"/>
      <c r="T82" s="33"/>
      <c r="U82" s="33"/>
      <c r="V82" s="33"/>
      <c r="W82" s="33"/>
      <c r="X82" s="33"/>
      <c r="Y82" s="33"/>
      <c r="Z82" s="33"/>
    </row>
    <row r="83" ht="37.5" spans="1:26">
      <c r="A83" s="15" t="s">
        <v>672</v>
      </c>
      <c r="B83" s="24" t="s">
        <v>673</v>
      </c>
      <c r="C83" s="22"/>
      <c r="D83" s="16" t="s">
        <v>674</v>
      </c>
      <c r="E83" s="15" t="s">
        <v>675</v>
      </c>
      <c r="F83" s="15" t="s">
        <v>676</v>
      </c>
      <c r="G83" s="15"/>
      <c r="H83" s="18" t="s">
        <v>136</v>
      </c>
      <c r="I83" s="15" t="s">
        <v>677</v>
      </c>
      <c r="J83" s="33"/>
      <c r="K83" s="33"/>
      <c r="L83" s="33"/>
      <c r="M83" s="33"/>
      <c r="N83" s="33"/>
      <c r="O83" s="33"/>
      <c r="P83" s="33"/>
      <c r="Q83" s="33"/>
      <c r="R83" s="33"/>
      <c r="S83" s="33"/>
      <c r="T83" s="33"/>
      <c r="U83" s="33"/>
      <c r="V83" s="33"/>
      <c r="W83" s="33"/>
      <c r="X83" s="33"/>
      <c r="Y83" s="33"/>
      <c r="Z83" s="33"/>
    </row>
    <row r="84" ht="37.5" spans="1:26">
      <c r="A84" s="15" t="s">
        <v>678</v>
      </c>
      <c r="B84" s="24" t="s">
        <v>679</v>
      </c>
      <c r="C84" s="22"/>
      <c r="D84" s="19"/>
      <c r="E84" s="15" t="s">
        <v>680</v>
      </c>
      <c r="F84" s="15" t="s">
        <v>681</v>
      </c>
      <c r="G84" s="15"/>
      <c r="H84" s="18" t="s">
        <v>136</v>
      </c>
      <c r="I84" s="15" t="s">
        <v>677</v>
      </c>
      <c r="J84" s="33"/>
      <c r="K84" s="33"/>
      <c r="L84" s="33"/>
      <c r="M84" s="33"/>
      <c r="N84" s="33"/>
      <c r="O84" s="33"/>
      <c r="P84" s="33"/>
      <c r="Q84" s="33"/>
      <c r="R84" s="33"/>
      <c r="S84" s="33"/>
      <c r="T84" s="33"/>
      <c r="U84" s="33"/>
      <c r="V84" s="33"/>
      <c r="W84" s="33"/>
      <c r="X84" s="33"/>
      <c r="Y84" s="33"/>
      <c r="Z84" s="33"/>
    </row>
    <row r="85" ht="25" spans="1:26">
      <c r="A85" s="15" t="s">
        <v>682</v>
      </c>
      <c r="B85" s="24" t="s">
        <v>683</v>
      </c>
      <c r="C85" s="22"/>
      <c r="D85" s="19"/>
      <c r="E85" s="15" t="s">
        <v>684</v>
      </c>
      <c r="F85" s="15" t="s">
        <v>685</v>
      </c>
      <c r="G85" s="15"/>
      <c r="H85" s="18" t="s">
        <v>136</v>
      </c>
      <c r="I85" s="15" t="s">
        <v>677</v>
      </c>
      <c r="J85" s="33"/>
      <c r="K85" s="33"/>
      <c r="L85" s="33"/>
      <c r="M85" s="33"/>
      <c r="N85" s="33"/>
      <c r="O85" s="33"/>
      <c r="P85" s="33"/>
      <c r="Q85" s="33"/>
      <c r="R85" s="33"/>
      <c r="S85" s="33"/>
      <c r="T85" s="33"/>
      <c r="U85" s="33"/>
      <c r="V85" s="33"/>
      <c r="W85" s="33"/>
      <c r="X85" s="33"/>
      <c r="Y85" s="33"/>
      <c r="Z85" s="33"/>
    </row>
    <row r="86" ht="25" spans="1:26">
      <c r="A86" s="15" t="s">
        <v>686</v>
      </c>
      <c r="B86" s="24" t="s">
        <v>687</v>
      </c>
      <c r="C86" s="22"/>
      <c r="D86" s="19"/>
      <c r="E86" s="15" t="s">
        <v>688</v>
      </c>
      <c r="F86" s="15" t="s">
        <v>689</v>
      </c>
      <c r="G86" s="15"/>
      <c r="H86" s="18" t="s">
        <v>136</v>
      </c>
      <c r="I86" s="15" t="s">
        <v>677</v>
      </c>
      <c r="J86" s="33"/>
      <c r="K86" s="33"/>
      <c r="L86" s="33"/>
      <c r="M86" s="33"/>
      <c r="N86" s="33"/>
      <c r="O86" s="33"/>
      <c r="P86" s="33"/>
      <c r="Q86" s="33"/>
      <c r="R86" s="33"/>
      <c r="S86" s="33"/>
      <c r="T86" s="33"/>
      <c r="U86" s="33"/>
      <c r="V86" s="33"/>
      <c r="W86" s="33"/>
      <c r="X86" s="33"/>
      <c r="Y86" s="33"/>
      <c r="Z86" s="33"/>
    </row>
    <row r="87" ht="75" spans="1:26">
      <c r="A87" s="15" t="s">
        <v>690</v>
      </c>
      <c r="B87" s="24" t="s">
        <v>691</v>
      </c>
      <c r="C87" s="22"/>
      <c r="D87" s="19"/>
      <c r="E87" s="15" t="s">
        <v>692</v>
      </c>
      <c r="F87" s="15" t="s">
        <v>689</v>
      </c>
      <c r="G87" s="15"/>
      <c r="H87" s="18" t="s">
        <v>136</v>
      </c>
      <c r="I87" s="15" t="s">
        <v>677</v>
      </c>
      <c r="J87" s="33"/>
      <c r="K87" s="33"/>
      <c r="L87" s="33"/>
      <c r="M87" s="33"/>
      <c r="N87" s="33"/>
      <c r="O87" s="33"/>
      <c r="P87" s="33"/>
      <c r="Q87" s="33"/>
      <c r="R87" s="33"/>
      <c r="S87" s="33"/>
      <c r="T87" s="33"/>
      <c r="U87" s="33"/>
      <c r="V87" s="33"/>
      <c r="W87" s="33"/>
      <c r="X87" s="33"/>
      <c r="Y87" s="33"/>
      <c r="Z87" s="33"/>
    </row>
    <row r="88" ht="50" spans="1:26">
      <c r="A88" s="15" t="s">
        <v>693</v>
      </c>
      <c r="B88" s="24" t="s">
        <v>694</v>
      </c>
      <c r="C88" s="22"/>
      <c r="D88" s="20"/>
      <c r="E88" s="15" t="s">
        <v>695</v>
      </c>
      <c r="F88" s="15" t="s">
        <v>696</v>
      </c>
      <c r="G88" s="15"/>
      <c r="H88" s="18" t="s">
        <v>133</v>
      </c>
      <c r="I88" s="15" t="s">
        <v>677</v>
      </c>
      <c r="J88" s="33"/>
      <c r="K88" s="33"/>
      <c r="L88" s="33"/>
      <c r="M88" s="33"/>
      <c r="N88" s="33"/>
      <c r="O88" s="33"/>
      <c r="P88" s="33"/>
      <c r="Q88" s="33"/>
      <c r="R88" s="33"/>
      <c r="S88" s="33"/>
      <c r="T88" s="33"/>
      <c r="U88" s="33"/>
      <c r="V88" s="33"/>
      <c r="W88" s="33"/>
      <c r="X88" s="33"/>
      <c r="Y88" s="33"/>
      <c r="Z88" s="33"/>
    </row>
    <row r="89" ht="13" spans="1:26">
      <c r="A89" s="34" t="s">
        <v>697</v>
      </c>
      <c r="B89" s="14"/>
      <c r="C89" s="14"/>
      <c r="D89" s="14"/>
      <c r="E89" s="14"/>
      <c r="F89" s="14"/>
      <c r="G89" s="14"/>
      <c r="H89" s="14"/>
      <c r="I89" s="22"/>
      <c r="J89" s="33"/>
      <c r="K89" s="33"/>
      <c r="L89" s="33"/>
      <c r="M89" s="33"/>
      <c r="N89" s="33"/>
      <c r="O89" s="33"/>
      <c r="P89" s="33"/>
      <c r="Q89" s="33"/>
      <c r="R89" s="33"/>
      <c r="S89" s="33"/>
      <c r="T89" s="33"/>
      <c r="U89" s="33"/>
      <c r="V89" s="33"/>
      <c r="W89" s="33"/>
      <c r="X89" s="33"/>
      <c r="Y89" s="33"/>
      <c r="Z89" s="33"/>
    </row>
    <row r="90" ht="37.5" spans="1:26">
      <c r="A90" s="15" t="s">
        <v>698</v>
      </c>
      <c r="B90" s="24" t="s">
        <v>699</v>
      </c>
      <c r="C90" s="22"/>
      <c r="D90" s="16" t="s">
        <v>700</v>
      </c>
      <c r="E90" s="15" t="s">
        <v>701</v>
      </c>
      <c r="F90" s="15" t="s">
        <v>702</v>
      </c>
      <c r="G90" s="15"/>
      <c r="H90" s="18" t="s">
        <v>133</v>
      </c>
      <c r="I90" s="15"/>
      <c r="J90" s="33"/>
      <c r="K90" s="33"/>
      <c r="L90" s="33"/>
      <c r="M90" s="33"/>
      <c r="N90" s="33"/>
      <c r="O90" s="33"/>
      <c r="P90" s="33"/>
      <c r="Q90" s="33"/>
      <c r="R90" s="33"/>
      <c r="S90" s="33"/>
      <c r="T90" s="33"/>
      <c r="U90" s="33"/>
      <c r="V90" s="33"/>
      <c r="W90" s="33"/>
      <c r="X90" s="33"/>
      <c r="Y90" s="33"/>
      <c r="Z90" s="33"/>
    </row>
    <row r="91" ht="25" spans="1:26">
      <c r="A91" s="15" t="s">
        <v>703</v>
      </c>
      <c r="B91" s="24" t="s">
        <v>704</v>
      </c>
      <c r="C91" s="22"/>
      <c r="D91" s="19"/>
      <c r="E91" s="15" t="s">
        <v>705</v>
      </c>
      <c r="F91" s="15" t="s">
        <v>685</v>
      </c>
      <c r="G91" s="15" t="s">
        <v>706</v>
      </c>
      <c r="H91" s="18" t="s">
        <v>134</v>
      </c>
      <c r="I91" s="40" t="s">
        <v>707</v>
      </c>
      <c r="J91" s="33"/>
      <c r="K91" s="33"/>
      <c r="L91" s="33"/>
      <c r="M91" s="33"/>
      <c r="N91" s="33"/>
      <c r="O91" s="33"/>
      <c r="P91" s="33"/>
      <c r="Q91" s="33"/>
      <c r="R91" s="33"/>
      <c r="S91" s="33"/>
      <c r="T91" s="33"/>
      <c r="U91" s="33"/>
      <c r="V91" s="33"/>
      <c r="W91" s="33"/>
      <c r="X91" s="33"/>
      <c r="Y91" s="33"/>
      <c r="Z91" s="33"/>
    </row>
    <row r="92" ht="37.5" spans="1:26">
      <c r="A92" s="15" t="s">
        <v>708</v>
      </c>
      <c r="B92" s="16" t="s">
        <v>709</v>
      </c>
      <c r="C92" s="15" t="s">
        <v>710</v>
      </c>
      <c r="D92" s="19"/>
      <c r="E92" s="15" t="s">
        <v>711</v>
      </c>
      <c r="F92" s="15" t="s">
        <v>712</v>
      </c>
      <c r="G92" s="15"/>
      <c r="H92" s="18" t="s">
        <v>133</v>
      </c>
      <c r="I92" s="15"/>
      <c r="J92" s="33"/>
      <c r="K92" s="33"/>
      <c r="L92" s="33"/>
      <c r="M92" s="33"/>
      <c r="N92" s="33"/>
      <c r="O92" s="33"/>
      <c r="P92" s="33"/>
      <c r="Q92" s="33"/>
      <c r="R92" s="33"/>
      <c r="S92" s="33"/>
      <c r="T92" s="33"/>
      <c r="U92" s="33"/>
      <c r="V92" s="33"/>
      <c r="W92" s="33"/>
      <c r="X92" s="33"/>
      <c r="Y92" s="33"/>
      <c r="Z92" s="33"/>
    </row>
    <row r="93" ht="37.5" spans="1:26">
      <c r="A93" s="15" t="s">
        <v>713</v>
      </c>
      <c r="B93" s="19"/>
      <c r="C93" s="15" t="s">
        <v>714</v>
      </c>
      <c r="D93" s="19"/>
      <c r="E93" s="15" t="s">
        <v>715</v>
      </c>
      <c r="F93" s="15" t="s">
        <v>712</v>
      </c>
      <c r="G93" s="15" t="s">
        <v>716</v>
      </c>
      <c r="H93" s="18" t="s">
        <v>134</v>
      </c>
      <c r="I93" s="40" t="s">
        <v>717</v>
      </c>
      <c r="J93" s="33"/>
      <c r="K93" s="33"/>
      <c r="L93" s="33"/>
      <c r="M93" s="33"/>
      <c r="N93" s="33"/>
      <c r="O93" s="33"/>
      <c r="P93" s="33"/>
      <c r="Q93" s="33"/>
      <c r="R93" s="33"/>
      <c r="S93" s="33"/>
      <c r="T93" s="33"/>
      <c r="U93" s="33"/>
      <c r="V93" s="33"/>
      <c r="W93" s="33"/>
      <c r="X93" s="33"/>
      <c r="Y93" s="33"/>
      <c r="Z93" s="33"/>
    </row>
    <row r="94" ht="37.5" spans="1:26">
      <c r="A94" s="15" t="s">
        <v>718</v>
      </c>
      <c r="B94" s="20"/>
      <c r="C94" s="15" t="s">
        <v>719</v>
      </c>
      <c r="D94" s="20"/>
      <c r="E94" s="15" t="s">
        <v>720</v>
      </c>
      <c r="F94" s="15"/>
      <c r="G94" s="15"/>
      <c r="H94" s="18" t="s">
        <v>133</v>
      </c>
      <c r="I94" s="15"/>
      <c r="J94" s="33"/>
      <c r="K94" s="33"/>
      <c r="L94" s="33"/>
      <c r="M94" s="33"/>
      <c r="N94" s="33"/>
      <c r="O94" s="33"/>
      <c r="P94" s="33"/>
      <c r="Q94" s="33"/>
      <c r="R94" s="33"/>
      <c r="S94" s="33"/>
      <c r="T94" s="33"/>
      <c r="U94" s="33"/>
      <c r="V94" s="33"/>
      <c r="W94" s="33"/>
      <c r="X94" s="33"/>
      <c r="Y94" s="33"/>
      <c r="Z94" s="33"/>
    </row>
    <row r="95" ht="37.5" spans="1:26">
      <c r="A95" s="15" t="s">
        <v>721</v>
      </c>
      <c r="B95" s="24" t="s">
        <v>722</v>
      </c>
      <c r="C95" s="22"/>
      <c r="D95" s="15" t="s">
        <v>723</v>
      </c>
      <c r="E95" s="15" t="s">
        <v>724</v>
      </c>
      <c r="F95" s="15" t="s">
        <v>725</v>
      </c>
      <c r="G95" s="15" t="s">
        <v>726</v>
      </c>
      <c r="H95" s="18" t="s">
        <v>134</v>
      </c>
      <c r="I95" s="40" t="s">
        <v>727</v>
      </c>
      <c r="J95" s="33"/>
      <c r="K95" s="33"/>
      <c r="L95" s="33"/>
      <c r="M95" s="33"/>
      <c r="N95" s="33"/>
      <c r="O95" s="33"/>
      <c r="P95" s="33"/>
      <c r="Q95" s="33"/>
      <c r="R95" s="33"/>
      <c r="S95" s="33"/>
      <c r="T95" s="33"/>
      <c r="U95" s="33"/>
      <c r="V95" s="33"/>
      <c r="W95" s="33"/>
      <c r="X95" s="33"/>
      <c r="Y95" s="33"/>
      <c r="Z95" s="33"/>
    </row>
    <row r="96" ht="75" spans="1:26">
      <c r="A96" s="15" t="s">
        <v>728</v>
      </c>
      <c r="B96" s="24" t="s">
        <v>729</v>
      </c>
      <c r="C96" s="22"/>
      <c r="D96" s="15" t="s">
        <v>700</v>
      </c>
      <c r="E96" s="15" t="s">
        <v>730</v>
      </c>
      <c r="F96" s="15" t="s">
        <v>731</v>
      </c>
      <c r="G96" s="15" t="s">
        <v>732</v>
      </c>
      <c r="H96" s="18" t="s">
        <v>134</v>
      </c>
      <c r="I96" s="40" t="s">
        <v>733</v>
      </c>
      <c r="J96" s="33"/>
      <c r="K96" s="33"/>
      <c r="L96" s="33"/>
      <c r="M96" s="33"/>
      <c r="N96" s="33"/>
      <c r="O96" s="33"/>
      <c r="P96" s="33"/>
      <c r="Q96" s="33"/>
      <c r="R96" s="33"/>
      <c r="S96" s="33"/>
      <c r="T96" s="33"/>
      <c r="U96" s="33"/>
      <c r="V96" s="33"/>
      <c r="W96" s="33"/>
      <c r="X96" s="33"/>
      <c r="Y96" s="33"/>
      <c r="Z96" s="33"/>
    </row>
    <row r="97" ht="75" spans="1:26">
      <c r="A97" s="15" t="s">
        <v>734</v>
      </c>
      <c r="B97" s="24" t="s">
        <v>735</v>
      </c>
      <c r="C97" s="22"/>
      <c r="D97" s="15" t="s">
        <v>700</v>
      </c>
      <c r="E97" s="15" t="s">
        <v>730</v>
      </c>
      <c r="F97" s="15" t="s">
        <v>736</v>
      </c>
      <c r="G97" s="15" t="s">
        <v>737</v>
      </c>
      <c r="H97" s="18" t="s">
        <v>134</v>
      </c>
      <c r="I97" s="40" t="s">
        <v>738</v>
      </c>
      <c r="J97" s="33"/>
      <c r="K97" s="33"/>
      <c r="L97" s="33"/>
      <c r="M97" s="33"/>
      <c r="N97" s="33"/>
      <c r="O97" s="33"/>
      <c r="P97" s="33"/>
      <c r="Q97" s="33"/>
      <c r="R97" s="33"/>
      <c r="S97" s="33"/>
      <c r="T97" s="33"/>
      <c r="U97" s="33"/>
      <c r="V97" s="33"/>
      <c r="W97" s="33"/>
      <c r="X97" s="33"/>
      <c r="Y97" s="33"/>
      <c r="Z97" s="33"/>
    </row>
    <row r="98" ht="50" spans="1:26">
      <c r="A98" s="15" t="s">
        <v>739</v>
      </c>
      <c r="B98" s="24" t="s">
        <v>740</v>
      </c>
      <c r="C98" s="22"/>
      <c r="D98" s="16" t="s">
        <v>741</v>
      </c>
      <c r="E98" s="15" t="s">
        <v>742</v>
      </c>
      <c r="F98" s="15" t="s">
        <v>743</v>
      </c>
      <c r="G98" s="15"/>
      <c r="H98" s="15" t="s">
        <v>133</v>
      </c>
      <c r="I98" s="15"/>
      <c r="J98" s="33"/>
      <c r="K98" s="33"/>
      <c r="L98" s="33"/>
      <c r="M98" s="33"/>
      <c r="N98" s="33"/>
      <c r="O98" s="33"/>
      <c r="P98" s="33"/>
      <c r="Q98" s="33"/>
      <c r="R98" s="33"/>
      <c r="S98" s="33"/>
      <c r="T98" s="33"/>
      <c r="U98" s="33"/>
      <c r="V98" s="33"/>
      <c r="W98" s="33"/>
      <c r="X98" s="33"/>
      <c r="Y98" s="33"/>
      <c r="Z98" s="33"/>
    </row>
    <row r="99" ht="50" spans="1:26">
      <c r="A99" s="15" t="s">
        <v>744</v>
      </c>
      <c r="B99" s="24" t="s">
        <v>745</v>
      </c>
      <c r="C99" s="22"/>
      <c r="D99" s="19"/>
      <c r="E99" s="15" t="s">
        <v>746</v>
      </c>
      <c r="F99" s="15" t="s">
        <v>747</v>
      </c>
      <c r="G99" s="15"/>
      <c r="H99" s="15" t="s">
        <v>136</v>
      </c>
      <c r="I99" s="15" t="s">
        <v>748</v>
      </c>
      <c r="J99" s="33"/>
      <c r="K99" s="33"/>
      <c r="L99" s="33"/>
      <c r="M99" s="33"/>
      <c r="N99" s="33"/>
      <c r="O99" s="33"/>
      <c r="P99" s="33"/>
      <c r="Q99" s="33"/>
      <c r="R99" s="33"/>
      <c r="S99" s="33"/>
      <c r="T99" s="33"/>
      <c r="U99" s="33"/>
      <c r="V99" s="33"/>
      <c r="W99" s="33"/>
      <c r="X99" s="33"/>
      <c r="Y99" s="33"/>
      <c r="Z99" s="33"/>
    </row>
    <row r="100" ht="25" spans="1:26">
      <c r="A100" s="15" t="s">
        <v>749</v>
      </c>
      <c r="B100" s="24" t="s">
        <v>750</v>
      </c>
      <c r="C100" s="22"/>
      <c r="D100" s="19"/>
      <c r="E100" s="15" t="s">
        <v>751</v>
      </c>
      <c r="F100" s="16" t="s">
        <v>752</v>
      </c>
      <c r="G100" s="15"/>
      <c r="H100" s="15" t="s">
        <v>133</v>
      </c>
      <c r="I100" s="15"/>
      <c r="J100" s="33"/>
      <c r="K100" s="33"/>
      <c r="L100" s="33"/>
      <c r="M100" s="33"/>
      <c r="N100" s="33"/>
      <c r="O100" s="33"/>
      <c r="P100" s="33"/>
      <c r="Q100" s="33"/>
      <c r="R100" s="33"/>
      <c r="S100" s="33"/>
      <c r="T100" s="33"/>
      <c r="U100" s="33"/>
      <c r="V100" s="33"/>
      <c r="W100" s="33"/>
      <c r="X100" s="33"/>
      <c r="Y100" s="33"/>
      <c r="Z100" s="33"/>
    </row>
    <row r="101" ht="25" spans="1:26">
      <c r="A101" s="15" t="s">
        <v>753</v>
      </c>
      <c r="B101" s="24" t="s">
        <v>754</v>
      </c>
      <c r="C101" s="22"/>
      <c r="D101" s="19"/>
      <c r="E101" s="15" t="s">
        <v>751</v>
      </c>
      <c r="F101" s="20"/>
      <c r="G101" s="15"/>
      <c r="H101" s="15" t="s">
        <v>133</v>
      </c>
      <c r="I101" s="15"/>
      <c r="J101" s="33"/>
      <c r="K101" s="33"/>
      <c r="L101" s="33"/>
      <c r="M101" s="33"/>
      <c r="N101" s="33"/>
      <c r="O101" s="33"/>
      <c r="P101" s="33"/>
      <c r="Q101" s="33"/>
      <c r="R101" s="33"/>
      <c r="S101" s="33"/>
      <c r="T101" s="33"/>
      <c r="U101" s="33"/>
      <c r="V101" s="33"/>
      <c r="W101" s="33"/>
      <c r="X101" s="33"/>
      <c r="Y101" s="33"/>
      <c r="Z101" s="33"/>
    </row>
    <row r="102" ht="25" spans="1:26">
      <c r="A102" s="15" t="s">
        <v>755</v>
      </c>
      <c r="B102" s="24" t="s">
        <v>756</v>
      </c>
      <c r="C102" s="22"/>
      <c r="D102" s="19"/>
      <c r="E102" s="15" t="s">
        <v>757</v>
      </c>
      <c r="F102" s="15" t="s">
        <v>758</v>
      </c>
      <c r="G102" s="15" t="s">
        <v>759</v>
      </c>
      <c r="H102" s="15" t="s">
        <v>134</v>
      </c>
      <c r="I102" s="40" t="s">
        <v>760</v>
      </c>
      <c r="J102" s="33"/>
      <c r="K102" s="33"/>
      <c r="L102" s="33"/>
      <c r="M102" s="33"/>
      <c r="N102" s="33"/>
      <c r="O102" s="33"/>
      <c r="P102" s="33"/>
      <c r="Q102" s="33"/>
      <c r="R102" s="33"/>
      <c r="S102" s="33"/>
      <c r="T102" s="33"/>
      <c r="U102" s="33"/>
      <c r="V102" s="33"/>
      <c r="W102" s="33"/>
      <c r="X102" s="33"/>
      <c r="Y102" s="33"/>
      <c r="Z102" s="33"/>
    </row>
    <row r="103" ht="50" spans="1:26">
      <c r="A103" s="15" t="s">
        <v>761</v>
      </c>
      <c r="B103" s="24" t="s">
        <v>762</v>
      </c>
      <c r="C103" s="22"/>
      <c r="D103" s="19"/>
      <c r="E103" s="15" t="s">
        <v>763</v>
      </c>
      <c r="F103" s="15" t="s">
        <v>764</v>
      </c>
      <c r="G103" s="15" t="s">
        <v>765</v>
      </c>
      <c r="H103" s="15" t="s">
        <v>136</v>
      </c>
      <c r="I103" s="15"/>
      <c r="J103" s="33"/>
      <c r="K103" s="33"/>
      <c r="L103" s="33"/>
      <c r="M103" s="33"/>
      <c r="N103" s="33"/>
      <c r="O103" s="33"/>
      <c r="P103" s="33"/>
      <c r="Q103" s="33"/>
      <c r="R103" s="33"/>
      <c r="S103" s="33"/>
      <c r="T103" s="33"/>
      <c r="U103" s="33"/>
      <c r="V103" s="33"/>
      <c r="W103" s="33"/>
      <c r="X103" s="33"/>
      <c r="Y103" s="33"/>
      <c r="Z103" s="33"/>
    </row>
    <row r="104" ht="50" spans="1:26">
      <c r="A104" s="15" t="s">
        <v>766</v>
      </c>
      <c r="B104" s="24" t="s">
        <v>767</v>
      </c>
      <c r="C104" s="22"/>
      <c r="D104" s="19"/>
      <c r="E104" s="15" t="s">
        <v>768</v>
      </c>
      <c r="F104" s="15" t="s">
        <v>769</v>
      </c>
      <c r="G104" s="15"/>
      <c r="H104" s="15" t="s">
        <v>133</v>
      </c>
      <c r="I104" s="15"/>
      <c r="J104" s="33"/>
      <c r="K104" s="33"/>
      <c r="L104" s="33"/>
      <c r="M104" s="33"/>
      <c r="N104" s="33"/>
      <c r="O104" s="33"/>
      <c r="P104" s="33"/>
      <c r="Q104" s="33"/>
      <c r="R104" s="33"/>
      <c r="S104" s="33"/>
      <c r="T104" s="33"/>
      <c r="U104" s="33"/>
      <c r="V104" s="33"/>
      <c r="W104" s="33"/>
      <c r="X104" s="33"/>
      <c r="Y104" s="33"/>
      <c r="Z104" s="33"/>
    </row>
    <row r="105" ht="37.5" spans="1:26">
      <c r="A105" s="15" t="s">
        <v>770</v>
      </c>
      <c r="B105" s="16" t="s">
        <v>771</v>
      </c>
      <c r="C105" s="15" t="s">
        <v>772</v>
      </c>
      <c r="D105" s="19"/>
      <c r="E105" s="15" t="s">
        <v>773</v>
      </c>
      <c r="F105" s="15" t="s">
        <v>774</v>
      </c>
      <c r="G105" s="15"/>
      <c r="H105" s="15" t="s">
        <v>133</v>
      </c>
      <c r="I105" s="15"/>
      <c r="J105" s="33"/>
      <c r="K105" s="33"/>
      <c r="L105" s="33"/>
      <c r="M105" s="33"/>
      <c r="N105" s="33"/>
      <c r="O105" s="33"/>
      <c r="P105" s="33"/>
      <c r="Q105" s="33"/>
      <c r="R105" s="33"/>
      <c r="S105" s="33"/>
      <c r="T105" s="33"/>
      <c r="U105" s="33"/>
      <c r="V105" s="33"/>
      <c r="W105" s="33"/>
      <c r="X105" s="33"/>
      <c r="Y105" s="33"/>
      <c r="Z105" s="33"/>
    </row>
    <row r="106" ht="25" spans="1:26">
      <c r="A106" s="15" t="s">
        <v>775</v>
      </c>
      <c r="B106" s="20"/>
      <c r="C106" s="15" t="s">
        <v>776</v>
      </c>
      <c r="D106" s="19"/>
      <c r="E106" s="15" t="s">
        <v>777</v>
      </c>
      <c r="F106" s="15" t="s">
        <v>778</v>
      </c>
      <c r="G106" s="15"/>
      <c r="H106" s="15" t="s">
        <v>133</v>
      </c>
      <c r="I106" s="15"/>
      <c r="J106" s="33"/>
      <c r="K106" s="33"/>
      <c r="L106" s="33"/>
      <c r="M106" s="33"/>
      <c r="N106" s="33"/>
      <c r="O106" s="33"/>
      <c r="P106" s="33"/>
      <c r="Q106" s="33"/>
      <c r="R106" s="33"/>
      <c r="S106" s="33"/>
      <c r="T106" s="33"/>
      <c r="U106" s="33"/>
      <c r="V106" s="33"/>
      <c r="W106" s="33"/>
      <c r="X106" s="33"/>
      <c r="Y106" s="33"/>
      <c r="Z106" s="33"/>
    </row>
    <row r="107" ht="50" spans="1:26">
      <c r="A107" s="15" t="s">
        <v>779</v>
      </c>
      <c r="B107" s="16" t="s">
        <v>780</v>
      </c>
      <c r="C107" s="15" t="s">
        <v>781</v>
      </c>
      <c r="D107" s="19"/>
      <c r="E107" s="15" t="s">
        <v>782</v>
      </c>
      <c r="F107" s="15" t="s">
        <v>774</v>
      </c>
      <c r="G107" s="15"/>
      <c r="H107" s="15" t="s">
        <v>133</v>
      </c>
      <c r="I107" s="15"/>
      <c r="J107" s="33"/>
      <c r="K107" s="33"/>
      <c r="L107" s="33"/>
      <c r="M107" s="33"/>
      <c r="N107" s="33"/>
      <c r="O107" s="33"/>
      <c r="P107" s="33"/>
      <c r="Q107" s="33"/>
      <c r="R107" s="33"/>
      <c r="S107" s="33"/>
      <c r="T107" s="33"/>
      <c r="U107" s="33"/>
      <c r="V107" s="33"/>
      <c r="W107" s="33"/>
      <c r="X107" s="33"/>
      <c r="Y107" s="33"/>
      <c r="Z107" s="33"/>
    </row>
    <row r="108" ht="50" spans="1:26">
      <c r="A108" s="15" t="s">
        <v>783</v>
      </c>
      <c r="B108" s="20"/>
      <c r="C108" s="15" t="s">
        <v>784</v>
      </c>
      <c r="D108" s="19"/>
      <c r="E108" s="15" t="s">
        <v>782</v>
      </c>
      <c r="F108" s="15" t="s">
        <v>774</v>
      </c>
      <c r="G108" s="15"/>
      <c r="H108" s="15" t="s">
        <v>133</v>
      </c>
      <c r="I108" s="15"/>
      <c r="J108" s="33"/>
      <c r="K108" s="33"/>
      <c r="L108" s="33"/>
      <c r="M108" s="33"/>
      <c r="N108" s="33"/>
      <c r="O108" s="33"/>
      <c r="P108" s="33"/>
      <c r="Q108" s="33"/>
      <c r="R108" s="33"/>
      <c r="S108" s="33"/>
      <c r="T108" s="33"/>
      <c r="U108" s="33"/>
      <c r="V108" s="33"/>
      <c r="W108" s="33"/>
      <c r="X108" s="33"/>
      <c r="Y108" s="33"/>
      <c r="Z108" s="33"/>
    </row>
    <row r="109" ht="50" spans="1:26">
      <c r="A109" s="15" t="s">
        <v>785</v>
      </c>
      <c r="B109" s="24" t="s">
        <v>786</v>
      </c>
      <c r="C109" s="22"/>
      <c r="D109" s="20"/>
      <c r="E109" s="15" t="s">
        <v>787</v>
      </c>
      <c r="F109" s="15" t="s">
        <v>788</v>
      </c>
      <c r="G109" s="15"/>
      <c r="H109" s="15" t="s">
        <v>133</v>
      </c>
      <c r="I109" s="15"/>
      <c r="J109" s="33"/>
      <c r="K109" s="33"/>
      <c r="L109" s="33"/>
      <c r="M109" s="33"/>
      <c r="N109" s="33"/>
      <c r="O109" s="33"/>
      <c r="P109" s="33"/>
      <c r="Q109" s="33"/>
      <c r="R109" s="33"/>
      <c r="S109" s="33"/>
      <c r="T109" s="33"/>
      <c r="U109" s="33"/>
      <c r="V109" s="33"/>
      <c r="W109" s="33"/>
      <c r="X109" s="33"/>
      <c r="Y109" s="33"/>
      <c r="Z109" s="33"/>
    </row>
    <row r="110" ht="12.5" spans="1:26">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ht="12.5" spans="1:26">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ht="12.5" spans="1:26">
      <c r="A112" s="33"/>
      <c r="B112" s="33"/>
      <c r="C112" s="28"/>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ht="12.5" spans="1:26">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ht="12.5" spans="1:26">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ht="12.5" spans="1:26">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ht="12.5" spans="1:26">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ht="12.5" spans="1:26">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ht="12.5" spans="1:26">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ht="12.5" spans="1:26">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ht="12.5" spans="1:26">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ht="12.5" spans="1:26">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ht="12.5" spans="1:26">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ht="12.5" spans="1:26">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ht="12.5" spans="1:26">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ht="12.5" spans="1:26">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ht="12.5" spans="1:26">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ht="12.5" spans="1:26">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ht="12.5" spans="1:26">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ht="12.5" spans="1:26">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ht="12.5" spans="1:26">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ht="12.5" spans="1:26">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ht="12.5" spans="1:26">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ht="12.5" spans="1:26">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ht="12.5" spans="1:26">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ht="12.5" spans="1:26">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ht="12.5" spans="1:26">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ht="12.5" spans="1:26">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ht="12.5" spans="1:26">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ht="12.5" spans="1:26">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ht="12.5" spans="1:26">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ht="12.5" spans="1:26">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ht="12.5" spans="1:26">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ht="12.5" spans="1:26">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ht="12.5" spans="1:26">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ht="12.5" spans="1:26">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ht="12.5" spans="1:26">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ht="12.5" spans="1:26">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ht="12.5" spans="1:26">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ht="12.5" spans="1:26">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ht="12.5" spans="1:26">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ht="12.5" spans="1:26">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ht="12.5" spans="1:26">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ht="12.5" spans="1:26">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ht="12.5" spans="1:26">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ht="12.5" spans="1:26">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ht="12.5" spans="1:26">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ht="12.5" spans="1:26">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ht="12.5" spans="1:26">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ht="12.5" spans="1:26">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ht="12.5" spans="1:26">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ht="12.5" spans="1:26">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ht="12.5" spans="1:26">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ht="12.5" spans="1:26">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ht="12.5" spans="1:26">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ht="12.5" spans="1:26">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ht="12.5" spans="1:26">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ht="12.5" spans="1:26">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ht="12.5" spans="1:26">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ht="12.5" spans="1:26">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ht="12.5" spans="1:26">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ht="12.5" spans="1:26">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ht="12.5" spans="1:26">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ht="12.5" spans="1:26">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ht="12.5" spans="1:26">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ht="12.5" spans="1:26">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ht="12.5" spans="1:26">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ht="12.5" spans="1:26">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ht="12.5" spans="1:26">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ht="12.5" spans="1:26">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ht="12.5" spans="1:26">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ht="12.5" spans="1:26">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ht="12.5" spans="1:26">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ht="12.5" spans="1:26">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ht="12.5" spans="1:26">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ht="12.5" spans="1:26">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ht="12.5" spans="1:26">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ht="12.5" spans="1:26">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ht="12.5" spans="1:26">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ht="12.5" spans="1:26">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ht="12.5" spans="1:26">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ht="12.5" spans="1:26">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ht="12.5" spans="1:26">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ht="12.5" spans="1:26">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ht="12.5" spans="1:26">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ht="12.5" spans="1:26">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ht="12.5" spans="1:26">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ht="12.5" spans="1:26">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ht="12.5" spans="1:26">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ht="12.5" spans="1:26">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ht="12.5" spans="1:26">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ht="12.5" spans="1:26">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ht="12.5" spans="1:26">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ht="12.5" spans="1:26">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ht="12.5" spans="1:26">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ht="12.5" spans="1:26">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ht="12.5" spans="1:26">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ht="12.5" spans="1:26">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ht="12.5" spans="1:26">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ht="12.5" spans="1:26">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ht="12.5" spans="1:26">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ht="12.5" spans="1:26">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ht="12.5" spans="1:26">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ht="12.5" spans="1:26">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ht="12.5" spans="1:26">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ht="12.5" spans="1:26">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ht="12.5" spans="1:26">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ht="12.5" spans="1:26">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ht="12.5" spans="1:26">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ht="12.5" spans="1:26">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ht="12.5" spans="1:26">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ht="12.5" spans="1:26">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ht="12.5" spans="1:26">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ht="12.5" spans="1:26">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ht="12.5" spans="1:26">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ht="12.5" spans="1:26">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ht="12.5" spans="1:26">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ht="12.5" spans="1:26">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ht="12.5" spans="1:26">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ht="12.5" spans="1:26">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ht="12.5" spans="1:26">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ht="12.5" spans="1:26">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ht="12.5" spans="1:26">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ht="12.5" spans="1:26">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ht="12.5" spans="1:26">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ht="12.5" spans="1:26">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ht="12.5" spans="1:26">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ht="12.5" spans="1:26">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ht="12.5" spans="1:26">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ht="12.5" spans="1:26">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ht="12.5" spans="1:26">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ht="12.5" spans="1:26">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ht="12.5" spans="1:26">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ht="12.5" spans="1:26">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ht="12.5" spans="1:26">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ht="12.5" spans="1:26">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ht="12.5" spans="1:26">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ht="12.5" spans="1:26">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ht="12.5" spans="1:26">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ht="12.5" spans="1:26">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ht="12.5" spans="1:26">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ht="12.5" spans="1:26">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ht="12.5" spans="1:26">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ht="12.5" spans="1:26">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ht="12.5" spans="1:26">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ht="12.5" spans="1:26">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ht="12.5" spans="1:26">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ht="12.5" spans="1:26">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ht="12.5" spans="1:26">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ht="12.5" spans="1:26">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ht="12.5" spans="1:26">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ht="12.5" spans="1:26">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ht="12.5" spans="1:26">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ht="12.5" spans="1:26">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ht="12.5" spans="1:26">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ht="12.5" spans="1:26">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ht="12.5" spans="1:26">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ht="12.5" spans="1:26">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ht="12.5" spans="1:26">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ht="12.5" spans="1:26">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ht="12.5" spans="1:26">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ht="12.5" spans="1:26">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ht="12.5" spans="1:26">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ht="12.5" spans="1:26">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ht="12.5" spans="1:26">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ht="12.5" spans="1:26">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ht="12.5" spans="1:26">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ht="12.5" spans="1:26">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ht="12.5" spans="1:26">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ht="12.5" spans="1:26">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ht="12.5" spans="1:26">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ht="12.5" spans="1:26">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ht="12.5" spans="1:26">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ht="12.5" spans="1:26">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ht="12.5" spans="1:26">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ht="12.5" spans="1:26">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ht="12.5" spans="1:26">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ht="12.5" spans="1:26">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ht="12.5" spans="1:26">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ht="12.5" spans="1:26">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ht="12.5" spans="1:26">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ht="12.5" spans="1:26">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ht="12.5" spans="1:26">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ht="12.5" spans="1:26">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ht="12.5" spans="1:26">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ht="12.5" spans="1:26">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ht="12.5" spans="1:26">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ht="12.5" spans="1:26">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ht="12.5" spans="1:26">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ht="12.5" spans="1:26">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ht="12.5" spans="1:26">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ht="12.5" spans="1:26">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ht="12.5" spans="1:26">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ht="12.5" spans="1:26">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ht="12.5" spans="1:26">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ht="12.5" spans="1:26">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ht="12.5" spans="1:26">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ht="12.5" spans="1:26">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ht="12.5" spans="1:26">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ht="12.5" spans="1:26">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ht="12.5" spans="1:26">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ht="12.5" spans="1:26">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ht="12.5" spans="1:26">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ht="12.5" spans="1:26">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ht="12.5" spans="1:26">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ht="12.5" spans="1:26">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ht="12.5" spans="1:26">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ht="12.5" spans="1:26">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ht="12.5" spans="1:26">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ht="12.5" spans="1:26">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ht="12.5" spans="1:26">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ht="12.5" spans="1:26">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ht="12.5" spans="1:26">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ht="12.5" spans="1:26">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ht="12.5" spans="1:26">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ht="12.5" spans="1:26">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ht="12.5" spans="1:26">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ht="12.5" spans="1:26">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ht="12.5" spans="1:26">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ht="12.5" spans="1:26">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ht="12.5" spans="1:26">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ht="12.5" spans="1:26">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ht="12.5" spans="1:26">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ht="12.5" spans="1:26">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ht="12.5" spans="1:26">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ht="12.5" spans="1:26">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ht="12.5" spans="1:26">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ht="12.5" spans="1:26">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ht="12.5" spans="1:26">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ht="12.5" spans="1:26">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ht="12.5" spans="1:26">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ht="12.5" spans="1:26">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ht="12.5" spans="1:26">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ht="12.5" spans="1:26">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ht="12.5" spans="1:26">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ht="12.5" spans="1:26">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ht="12.5" spans="1:26">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ht="12.5" spans="1:26">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ht="12.5" spans="1:26">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ht="12.5" spans="1:26">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ht="12.5" spans="1:26">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ht="12.5" spans="1:26">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ht="12.5" spans="1:26">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ht="12.5" spans="1:26">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ht="12.5" spans="1:26">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ht="12.5" spans="1:26">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ht="12.5" spans="1:26">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ht="12.5" spans="1:26">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ht="12.5" spans="1:26">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ht="12.5" spans="1:26">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ht="12.5" spans="1:26">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ht="12.5" spans="1:26">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ht="12.5" spans="1:26">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ht="12.5" spans="1:26">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ht="12.5" spans="1:26">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ht="12.5" spans="1:26">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ht="12.5" spans="1:26">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ht="12.5" spans="1:26">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ht="12.5" spans="1:26">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ht="12.5" spans="1:26">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ht="12.5" spans="1:26">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ht="12.5" spans="1:26">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ht="12.5" spans="1:26">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ht="12.5" spans="1:26">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ht="12.5" spans="1:26">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ht="12.5" spans="1:26">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ht="12.5" spans="1:26">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ht="12.5" spans="1:26">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ht="12.5" spans="1:26">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ht="12.5" spans="1:26">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ht="12.5" spans="1:26">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ht="12.5" spans="1:26">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ht="12.5" spans="1:26">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ht="12.5" spans="1:26">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ht="12.5" spans="1:26">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ht="12.5" spans="1:26">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ht="12.5" spans="1:26">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ht="12.5" spans="1:26">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ht="12.5" spans="1:26">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ht="12.5" spans="1:26">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ht="12.5" spans="1:26">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ht="12.5" spans="1:26">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ht="12.5" spans="1:26">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ht="12.5" spans="1:26">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ht="12.5" spans="1:26">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ht="12.5" spans="1:26">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ht="12.5" spans="1:26">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ht="12.5" spans="1:26">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ht="12.5" spans="1:26">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ht="12.5" spans="1:26">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ht="12.5" spans="1:26">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ht="12.5" spans="1:26">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ht="12.5" spans="1:26">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ht="12.5" spans="1:26">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ht="12.5" spans="1:26">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ht="12.5" spans="1:26">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ht="12.5" spans="1:26">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ht="12.5" spans="1:26">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ht="12.5" spans="1:26">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ht="12.5" spans="1:26">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ht="12.5" spans="1:26">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ht="12.5" spans="1:26">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ht="12.5" spans="1:26">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ht="12.5" spans="1:26">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ht="12.5" spans="1:26">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ht="12.5" spans="1:26">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ht="12.5" spans="1:26">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ht="12.5" spans="1:26">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ht="12.5" spans="1:26">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ht="12.5" spans="1:26">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ht="12.5" spans="1:26">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ht="12.5" spans="1:26">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ht="12.5" spans="1:26">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ht="12.5" spans="1:26">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ht="12.5" spans="1:26">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ht="12.5" spans="1:26">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ht="12.5" spans="1:26">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ht="12.5" spans="1:26">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ht="12.5" spans="1:26">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ht="12.5" spans="1:26">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ht="12.5" spans="1:26">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ht="12.5" spans="1:26">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ht="12.5" spans="1:26">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ht="12.5" spans="1:26">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ht="12.5" spans="1:26">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ht="12.5" spans="1:26">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ht="12.5" spans="1:26">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ht="12.5" spans="1:26">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ht="12.5" spans="1:26">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ht="12.5" spans="1:26">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ht="12.5" spans="1:26">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ht="12.5" spans="1:26">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ht="12.5" spans="1:26">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ht="12.5" spans="1:26">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ht="12.5" spans="1:26">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ht="12.5" spans="1:26">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ht="12.5" spans="1:26">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ht="12.5" spans="1:26">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ht="12.5" spans="1:26">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ht="12.5" spans="1:26">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ht="12.5" spans="1:26">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ht="12.5" spans="1:26">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ht="12.5" spans="1:26">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ht="12.5" spans="1:26">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ht="12.5" spans="1:26">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ht="12.5" spans="1:26">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ht="12.5" spans="1:26">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ht="12.5" spans="1:26">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ht="12.5" spans="1:26">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ht="12.5" spans="1:26">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ht="12.5" spans="1:26">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ht="12.5" spans="1:26">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ht="12.5" spans="1:26">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ht="12.5" spans="1:26">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ht="12.5" spans="1:26">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ht="12.5" spans="1:26">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ht="12.5" spans="1:26">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ht="12.5" spans="1:26">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ht="12.5" spans="1:26">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ht="12.5" spans="1:26">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ht="12.5" spans="1:26">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ht="12.5" spans="1:26">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ht="12.5" spans="1:26">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ht="12.5" spans="1:26">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ht="12.5" spans="1:26">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ht="12.5" spans="1:26">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ht="12.5" spans="1:26">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ht="12.5" spans="1:26">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ht="12.5" spans="1:26">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ht="12.5" spans="1:26">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ht="12.5" spans="1:26">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ht="12.5" spans="1:26">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ht="12.5" spans="1:26">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ht="12.5" spans="1:26">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ht="12.5" spans="1:26">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ht="12.5" spans="1:26">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ht="12.5" spans="1:26">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ht="12.5" spans="1:26">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ht="12.5" spans="1:26">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ht="12.5" spans="1:26">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ht="12.5" spans="1:26">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ht="12.5" spans="1:26">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ht="12.5" spans="1:26">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ht="12.5" spans="1:26">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ht="12.5" spans="1:26">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ht="12.5" spans="1:26">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ht="12.5" spans="1:26">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ht="12.5" spans="1:26">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ht="12.5" spans="1:26">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ht="12.5" spans="1:26">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ht="12.5" spans="1:26">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ht="12.5" spans="1:26">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ht="12.5" spans="1:26">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ht="12.5" spans="1:26">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ht="12.5" spans="1:26">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ht="12.5" spans="1:26">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ht="12.5" spans="1:26">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ht="12.5" spans="1:26">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ht="12.5" spans="1:26">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ht="12.5" spans="1:26">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ht="12.5" spans="1:26">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ht="12.5" spans="1:26">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ht="12.5" spans="1:26">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ht="12.5" spans="1:26">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ht="12.5" spans="1:26">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ht="12.5" spans="1:26">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ht="12.5" spans="1:26">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ht="12.5" spans="1:26">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ht="12.5" spans="1:26">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ht="12.5" spans="1:26">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ht="12.5" spans="1:26">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ht="12.5" spans="1:26">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ht="12.5" spans="1:26">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ht="12.5" spans="1:26">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ht="12.5" spans="1:26">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ht="12.5" spans="1:26">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ht="12.5" spans="1:26">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ht="12.5" spans="1:26">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ht="12.5" spans="1:26">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ht="12.5" spans="1:26">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ht="12.5" spans="1:26">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ht="12.5" spans="1:26">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ht="12.5" spans="1:26">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ht="12.5" spans="1:26">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ht="12.5" spans="1:26">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ht="12.5" spans="1:26">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ht="12.5" spans="1:26">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ht="12.5" spans="1:26">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ht="12.5" spans="1:26">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ht="12.5" spans="1:26">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ht="12.5" spans="1:26">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ht="12.5" spans="1:26">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ht="12.5" spans="1:26">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ht="12.5" spans="1:26">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ht="12.5" spans="1:26">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ht="12.5" spans="1:26">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ht="12.5" spans="1:26">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ht="12.5" spans="1:26">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ht="12.5" spans="1:26">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ht="12.5" spans="1:26">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ht="12.5" spans="1:26">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ht="12.5" spans="1:26">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ht="12.5" spans="1:26">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ht="12.5" spans="1:26">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ht="12.5" spans="1:26">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ht="12.5" spans="1:26">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ht="12.5" spans="1:26">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ht="12.5" spans="1:26">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ht="12.5" spans="1:26">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ht="12.5" spans="1:26">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ht="12.5" spans="1:26">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ht="12.5" spans="1:26">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ht="12.5" spans="1:26">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ht="12.5" spans="1:26">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ht="12.5" spans="1:26">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ht="12.5" spans="1:26">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ht="12.5" spans="1:26">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ht="12.5" spans="1:26">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ht="12.5" spans="1:26">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ht="12.5" spans="1:26">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ht="12.5" spans="1:26">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ht="12.5" spans="1:26">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ht="12.5" spans="1:26">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ht="12.5" spans="1:26">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ht="12.5" spans="1:26">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ht="12.5" spans="1:26">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ht="12.5" spans="1:26">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ht="12.5" spans="1:26">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ht="12.5" spans="1:26">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ht="12.5" spans="1:26">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ht="12.5" spans="1:26">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ht="12.5" spans="1:26">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ht="12.5" spans="1:26">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ht="12.5" spans="1:26">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ht="12.5" spans="1:26">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ht="12.5" spans="1:26">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ht="12.5" spans="1:26">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ht="12.5" spans="1:26">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ht="12.5" spans="1:26">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ht="12.5" spans="1:26">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ht="12.5" spans="1:26">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ht="12.5" spans="1:26">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ht="12.5" spans="1:26">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ht="12.5" spans="1:26">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ht="12.5" spans="1:26">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ht="12.5" spans="1:26">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ht="12.5" spans="1:26">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ht="12.5" spans="1:26">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ht="12.5" spans="1:26">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ht="12.5" spans="1:26">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ht="12.5" spans="1:26">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ht="12.5" spans="1:26">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ht="12.5" spans="1:26">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ht="12.5" spans="1:26">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ht="12.5" spans="1:26">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ht="12.5" spans="1:26">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ht="12.5" spans="1:26">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ht="12.5" spans="1:26">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ht="12.5" spans="1:26">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ht="12.5" spans="1:26">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ht="12.5" spans="1:26">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ht="12.5" spans="1:26">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ht="12.5" spans="1:26">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ht="12.5" spans="1:26">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ht="12.5" spans="1:26">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ht="12.5" spans="1:26">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ht="12.5" spans="1:26">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ht="12.5" spans="1:26">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ht="12.5" spans="1:26">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ht="12.5" spans="1:26">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ht="12.5" spans="1:26">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ht="12.5" spans="1:26">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ht="12.5" spans="1:26">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ht="12.5" spans="1:26">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ht="12.5" spans="1:26">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ht="12.5" spans="1:26">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ht="12.5" spans="1:26">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ht="12.5" spans="1:26">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ht="12.5" spans="1:26">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ht="12.5" spans="1:26">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ht="12.5" spans="1:26">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ht="12.5" spans="1:26">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ht="12.5" spans="1:26">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ht="12.5" spans="1:26">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ht="12.5" spans="1:26">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ht="12.5" spans="1:26">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ht="12.5" spans="1:26">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ht="12.5" spans="1:26">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ht="12.5" spans="1:26">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ht="12.5" spans="1:26">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ht="12.5" spans="1:26">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ht="12.5" spans="1:26">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ht="12.5" spans="1:26">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ht="12.5" spans="1:26">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ht="12.5" spans="1:26">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ht="12.5" spans="1:26">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ht="12.5" spans="1:26">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ht="12.5" spans="1:26">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ht="12.5" spans="1:26">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ht="12.5" spans="1:26">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ht="12.5" spans="1:26">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ht="12.5" spans="1:26">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ht="12.5" spans="1:26">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ht="12.5" spans="1:26">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ht="12.5" spans="1:26">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ht="12.5" spans="1:26">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ht="12.5" spans="1:26">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ht="12.5" spans="1:26">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ht="12.5" spans="1:26">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ht="12.5" spans="1:26">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ht="12.5" spans="1:26">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ht="12.5" spans="1:26">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ht="12.5" spans="1:26">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ht="12.5" spans="1:26">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ht="12.5" spans="1:26">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ht="12.5" spans="1:26">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ht="12.5" spans="1:26">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ht="12.5" spans="1:26">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ht="12.5" spans="1:26">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ht="12.5" spans="1:26">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ht="12.5" spans="1:26">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ht="12.5" spans="1:26">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ht="12.5" spans="1:26">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ht="12.5" spans="1:26">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ht="12.5" spans="1:26">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ht="12.5" spans="1:26">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ht="12.5" spans="1:26">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ht="12.5" spans="1:26">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ht="12.5" spans="1:26">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ht="12.5" spans="1:26">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ht="12.5" spans="1:26">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ht="12.5" spans="1:26">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ht="12.5" spans="1:26">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ht="12.5" spans="1:26">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ht="12.5" spans="1:26">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ht="12.5" spans="1:26">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ht="12.5" spans="1:26">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ht="12.5" spans="1:26">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ht="12.5" spans="1:26">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ht="12.5" spans="1:26">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ht="12.5" spans="1:26">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ht="12.5" spans="1:26">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ht="12.5" spans="1:26">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ht="12.5" spans="1:26">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ht="12.5" spans="1:26">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ht="12.5" spans="1:26">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ht="12.5" spans="1:26">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ht="12.5" spans="1:26">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ht="12.5" spans="1:26">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ht="12.5" spans="1:26">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ht="12.5" spans="1:26">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ht="12.5" spans="1:26">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ht="12.5" spans="1:26">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ht="12.5" spans="1:26">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ht="12.5" spans="1:26">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ht="12.5" spans="1:26">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ht="12.5" spans="1:26">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ht="12.5" spans="1:26">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ht="12.5" spans="1:26">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ht="12.5" spans="1:26">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ht="12.5" spans="1:26">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ht="12.5" spans="1:26">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ht="12.5" spans="1:26">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ht="12.5" spans="1:26">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ht="12.5" spans="1:26">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ht="12.5" spans="1:26">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ht="12.5" spans="1:26">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ht="12.5" spans="1:26">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ht="12.5" spans="1:26">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ht="12.5" spans="1:26">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ht="12.5" spans="1:26">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ht="12.5" spans="1:26">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ht="12.5" spans="1:26">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ht="12.5" spans="1:26">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ht="12.5" spans="1:26">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ht="12.5" spans="1:26">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ht="12.5" spans="1:26">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ht="12.5" spans="1:26">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ht="12.5" spans="1:26">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ht="12.5" spans="1:26">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ht="12.5" spans="1:26">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ht="12.5" spans="1:26">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ht="12.5" spans="1:26">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ht="12.5" spans="1:26">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ht="12.5" spans="1:26">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ht="12.5" spans="1:26">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ht="12.5" spans="1:26">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ht="12.5" spans="1:26">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ht="12.5" spans="1:26">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ht="12.5" spans="1:26">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ht="12.5" spans="1:26">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ht="12.5" spans="1:26">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ht="12.5" spans="1:26">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ht="12.5" spans="1:26">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ht="12.5" spans="1:26">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ht="12.5" spans="1:26">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ht="12.5" spans="1:26">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ht="12.5" spans="1:26">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ht="12.5" spans="1:26">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ht="12.5" spans="1:26">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ht="12.5" spans="1:26">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ht="12.5" spans="1:26">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ht="12.5" spans="1:26">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ht="12.5" spans="1:26">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ht="12.5" spans="1:26">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ht="12.5" spans="1:26">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ht="12.5" spans="1:26">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ht="12.5" spans="1:26">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ht="12.5" spans="1:26">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ht="12.5" spans="1:26">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ht="12.5" spans="1:26">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ht="12.5" spans="1:26">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ht="12.5" spans="1:26">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ht="12.5" spans="1:26">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ht="12.5" spans="1:26">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ht="12.5" spans="1:26">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ht="12.5" spans="1:26">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ht="12.5" spans="1:26">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ht="12.5" spans="1:26">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ht="12.5" spans="1:26">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ht="12.5" spans="1:26">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ht="12.5" spans="1:26">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ht="12.5" spans="1:26">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ht="12.5" spans="1:26">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ht="12.5" spans="1:26">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ht="12.5" spans="1:26">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ht="12.5" spans="1:26">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ht="12.5" spans="1:26">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ht="12.5" spans="1:26">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ht="12.5" spans="1:26">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ht="12.5" spans="1:26">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ht="12.5" spans="1:26">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ht="12.5" spans="1:26">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ht="12.5" spans="1:26">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ht="12.5" spans="1:26">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ht="12.5" spans="1:26">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ht="12.5" spans="1:26">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ht="12.5" spans="1:26">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ht="12.5" spans="1:26">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ht="12.5" spans="1:26">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ht="12.5" spans="1:26">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ht="12.5" spans="1:26">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ht="12.5" spans="1:26">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ht="12.5" spans="1:26">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ht="12.5" spans="1:26">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ht="12.5" spans="1:26">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ht="12.5" spans="1:26">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ht="12.5" spans="1:26">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ht="12.5" spans="1:26">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ht="12.5" spans="1:26">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ht="12.5" spans="1:26">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ht="12.5" spans="1:26">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ht="12.5" spans="1:26">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ht="12.5" spans="1:26">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ht="12.5" spans="1:26">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ht="12.5" spans="1:26">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ht="12.5" spans="1:26">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ht="12.5" spans="1:26">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ht="12.5" spans="1:26">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ht="12.5" spans="1:26">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ht="12.5" spans="1:26">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ht="12.5" spans="1:26">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ht="12.5" spans="1:26">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ht="12.5" spans="1:26">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ht="12.5" spans="1:26">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ht="12.5" spans="1:26">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ht="12.5" spans="1:26">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ht="12.5" spans="1:26">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ht="12.5" spans="1:26">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ht="12.5" spans="1:26">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ht="12.5" spans="1:26">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ht="12.5" spans="1:26">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ht="12.5" spans="1:26">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ht="12.5" spans="1:26">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ht="12.5" spans="1:26">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ht="12.5" spans="1:26">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ht="12.5" spans="1:26">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ht="12.5" spans="1:26">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ht="12.5" spans="1:26">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ht="12.5" spans="1:26">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ht="12.5" spans="1:26">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ht="12.5" spans="1:26">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ht="12.5" spans="1:26">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ht="12.5" spans="1:26">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ht="12.5" spans="1:26">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ht="12.5" spans="1:26">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ht="12.5" spans="1:26">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ht="12.5" spans="1:26">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ht="12.5" spans="1:26">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ht="12.5" spans="1:26">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ht="12.5" spans="1:26">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ht="12.5" spans="1:26">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ht="12.5" spans="1:26">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ht="12.5" spans="1:26">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ht="12.5" spans="1:26">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ht="12.5" spans="1:26">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ht="12.5" spans="1:26">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ht="12.5" spans="1:26">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ht="12.5" spans="1:26">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ht="12.5" spans="1:26">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ht="12.5" spans="1:26">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ht="12.5" spans="1:26">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ht="12.5" spans="1:26">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ht="12.5" spans="1:26">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ht="12.5" spans="1:26">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ht="12.5" spans="1:26">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ht="12.5" spans="1:26">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ht="12.5" spans="1:26">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ht="12.5" spans="1:26">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ht="12.5" spans="1:26">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ht="12.5" spans="1:26">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ht="12.5" spans="1:26">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ht="12.5" spans="1:26">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ht="12.5" spans="1:26">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ht="12.5" spans="1:26">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ht="12.5" spans="1:26">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ht="12.5" spans="1:26">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ht="12.5" spans="1:26">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ht="12.5" spans="1:26">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ht="12.5" spans="1:26">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ht="12.5" spans="1:26">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ht="12.5" spans="1:26">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ht="12.5" spans="1:26">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ht="12.5" spans="1:26">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ht="12.5" spans="1:26">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ht="12.5" spans="1:26">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ht="12.5" spans="1:26">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ht="12.5" spans="1:26">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ht="12.5" spans="1:26">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ht="12.5" spans="1:26">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ht="12.5" spans="1:26">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ht="12.5" spans="1:26">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ht="12.5" spans="1:26">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ht="12.5" spans="1:26">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ht="12.5" spans="1:26">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ht="12.5" spans="1:26">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ht="12.5" spans="1:26">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ht="12.5" spans="1:26">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ht="12.5" spans="1:26">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ht="12.5" spans="1:26">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ht="12.5" spans="1:26">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ht="12.5" spans="1:26">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ht="12.5" spans="1:26">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ht="12.5" spans="1:26">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ht="12.5" spans="1:26">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ht="12.5" spans="1:26">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ht="12.5" spans="1:26">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ht="12.5" spans="1:26">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ht="12.5" spans="1:26">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ht="12.5" spans="1:26">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ht="12.5" spans="1:26">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ht="12.5" spans="1:26">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ht="12.5" spans="1:26">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ht="12.5" spans="1:26">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ht="12.5" spans="1:26">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ht="12.5" spans="1:26">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ht="12.5" spans="1:26">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ht="12.5" spans="1:26">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ht="12.5" spans="1:26">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ht="12.5" spans="1:26">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ht="12.5" spans="1:26">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ht="12.5" spans="1:26">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ht="12.5" spans="1:26">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ht="12.5" spans="1:26">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ht="12.5" spans="1:26">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ht="12.5" spans="1:26">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ht="12.5" spans="1:26">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ht="12.5" spans="1:26">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ht="12.5" spans="1:26">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ht="12.5" spans="1:26">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ht="12.5" spans="1:26">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ht="12.5" spans="1:26">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ht="12.5" spans="1:26">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ht="12.5" spans="1:26">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ht="12.5" spans="1:26">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ht="12.5" spans="1:26">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ht="12.5" spans="1:26">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ht="12.5" spans="1:26">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ht="12.5" spans="1:26">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ht="12.5" spans="1:26">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ht="12.5" spans="1:26">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ht="12.5" spans="1:26">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ht="12.5" spans="1:26">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ht="12.5" spans="1:26">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ht="12.5" spans="1:26">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ht="12.5" spans="1:26">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ht="12.5" spans="1:26">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ht="12.5" spans="1:26">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ht="12.5" spans="1:26">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ht="12.5" spans="1:26">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ht="12.5" spans="1:26">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ht="12.5" spans="1:26">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ht="12.5" spans="1:26">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ht="12.5" spans="1:26">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ht="12.5" spans="1:26">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ht="12.5" spans="1:26">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ht="12.5" spans="1:26">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ht="12.5" spans="1:26">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ht="12.5" spans="1:26">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ht="12.5" spans="1:26">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ht="12.5" spans="1:26">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ht="12.5" spans="1:26">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ht="12.5" spans="1:26">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ht="12.5" spans="1:26">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ht="12.5" spans="1:26">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ht="12.5" spans="1:26">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ht="12.5" spans="1:26">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ht="12.5" spans="1:26">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ht="12.5" spans="1:26">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ht="12.5" spans="1:26">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ht="12.5" spans="1:26">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ht="12.5" spans="1:26">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ht="12.5" spans="1:26">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ht="12.5" spans="1:26">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ht="12.5" spans="1:26">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ht="12.5" spans="1:26">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ht="12.5" spans="1:26">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ht="12.5" spans="1:26">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ht="12.5" spans="1:26">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ht="12.5" spans="1:26">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ht="12.5" spans="1:26">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ht="12.5" spans="1:26">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ht="12.5" spans="1:26">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ht="12.5" spans="1:26">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ht="12.5" spans="1:26">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ht="12.5" spans="1:26">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ht="12.5" spans="1:26">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ht="12.5" spans="1:26">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ht="12.5" spans="1:26">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ht="12.5" spans="1:26">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ht="12.5" spans="1:26">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ht="12.5" spans="1:26">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ht="12.5" spans="1:26">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ht="12.5" spans="1:26">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ht="12.5" spans="1:26">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ht="12.5" spans="1:26">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ht="12.5" spans="1:26">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ht="12.5" spans="1:26">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ht="12.5" spans="1:26">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ht="12.5" spans="1:26">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ht="12.5" spans="1:26">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ht="12.5" spans="1:26">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ht="12.5" spans="1:26">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ht="12.5" spans="1:26">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ht="12.5" spans="1:26">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ht="12.5" spans="1:26">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ht="12.5" spans="1:26">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ht="12.5" spans="1:26">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ht="12.5" spans="1:26">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ht="12.5" spans="1:26">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ht="12.5" spans="1:26">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ht="12.5" spans="1:26">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ht="12.5" spans="1:26">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ht="12.5" spans="1:26">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ht="12.5" spans="1:26">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ht="12.5" spans="1:26">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ht="12.5" spans="1:26">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ht="12.5" spans="1:26">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ht="12.5" spans="1:26">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ht="12.5" spans="1:26">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ht="12.5" spans="1:26">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ht="12.5" spans="1:26">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ht="12.5" spans="1:26">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row r="1013" ht="12.5" spans="1:26">
      <c r="A1013" s="33"/>
      <c r="B1013" s="33"/>
      <c r="C1013" s="33"/>
      <c r="D1013" s="33"/>
      <c r="E1013" s="33"/>
      <c r="F1013" s="33"/>
      <c r="G1013" s="33"/>
      <c r="H1013" s="33"/>
      <c r="I1013" s="33"/>
      <c r="J1013" s="33"/>
      <c r="K1013" s="33"/>
      <c r="L1013" s="33"/>
      <c r="M1013" s="33"/>
      <c r="N1013" s="33"/>
      <c r="O1013" s="33"/>
      <c r="P1013" s="33"/>
      <c r="Q1013" s="33"/>
      <c r="R1013" s="33"/>
      <c r="S1013" s="33"/>
      <c r="T1013" s="33"/>
      <c r="U1013" s="33"/>
      <c r="V1013" s="33"/>
      <c r="W1013" s="33"/>
      <c r="X1013" s="33"/>
      <c r="Y1013" s="33"/>
      <c r="Z1013" s="33"/>
    </row>
    <row r="1014" ht="12.5" spans="1:26">
      <c r="A1014" s="33"/>
      <c r="B1014" s="33"/>
      <c r="C1014" s="33"/>
      <c r="D1014" s="33"/>
      <c r="E1014" s="33"/>
      <c r="F1014" s="33"/>
      <c r="G1014" s="33"/>
      <c r="H1014" s="33"/>
      <c r="I1014" s="33"/>
      <c r="J1014" s="33"/>
      <c r="K1014" s="33"/>
      <c r="L1014" s="33"/>
      <c r="M1014" s="33"/>
      <c r="N1014" s="33"/>
      <c r="O1014" s="33"/>
      <c r="P1014" s="33"/>
      <c r="Q1014" s="33"/>
      <c r="R1014" s="33"/>
      <c r="S1014" s="33"/>
      <c r="T1014" s="33"/>
      <c r="U1014" s="33"/>
      <c r="V1014" s="33"/>
      <c r="W1014" s="33"/>
      <c r="X1014" s="33"/>
      <c r="Y1014" s="33"/>
      <c r="Z1014" s="33"/>
    </row>
    <row r="1015" ht="12.5" spans="1:26">
      <c r="A1015" s="33"/>
      <c r="B1015" s="33"/>
      <c r="C1015" s="33"/>
      <c r="D1015" s="33"/>
      <c r="E1015" s="33"/>
      <c r="F1015" s="33"/>
      <c r="G1015" s="33"/>
      <c r="H1015" s="33"/>
      <c r="I1015" s="33"/>
      <c r="J1015" s="33"/>
      <c r="K1015" s="33"/>
      <c r="L1015" s="33"/>
      <c r="M1015" s="33"/>
      <c r="N1015" s="33"/>
      <c r="O1015" s="33"/>
      <c r="P1015" s="33"/>
      <c r="Q1015" s="33"/>
      <c r="R1015" s="33"/>
      <c r="S1015" s="33"/>
      <c r="T1015" s="33"/>
      <c r="U1015" s="33"/>
      <c r="V1015" s="33"/>
      <c r="W1015" s="33"/>
      <c r="X1015" s="33"/>
      <c r="Y1015" s="33"/>
      <c r="Z1015" s="33"/>
    </row>
    <row r="1016" ht="12.5" spans="1:26">
      <c r="A1016" s="33"/>
      <c r="B1016" s="33"/>
      <c r="C1016" s="33"/>
      <c r="D1016" s="33"/>
      <c r="E1016" s="33"/>
      <c r="F1016" s="33"/>
      <c r="G1016" s="33"/>
      <c r="H1016" s="33"/>
      <c r="I1016" s="33"/>
      <c r="J1016" s="33"/>
      <c r="K1016" s="33"/>
      <c r="L1016" s="33"/>
      <c r="M1016" s="33"/>
      <c r="N1016" s="33"/>
      <c r="O1016" s="33"/>
      <c r="P1016" s="33"/>
      <c r="Q1016" s="33"/>
      <c r="R1016" s="33"/>
      <c r="S1016" s="33"/>
      <c r="T1016" s="33"/>
      <c r="U1016" s="33"/>
      <c r="V1016" s="33"/>
      <c r="W1016" s="33"/>
      <c r="X1016" s="33"/>
      <c r="Y1016" s="33"/>
      <c r="Z1016" s="33"/>
    </row>
    <row r="1017" ht="12.5" spans="1:26">
      <c r="A1017" s="33"/>
      <c r="B1017" s="33"/>
      <c r="C1017" s="33"/>
      <c r="D1017" s="33"/>
      <c r="E1017" s="33"/>
      <c r="F1017" s="33"/>
      <c r="G1017" s="33"/>
      <c r="H1017" s="33"/>
      <c r="I1017" s="33"/>
      <c r="J1017" s="33"/>
      <c r="K1017" s="33"/>
      <c r="L1017" s="33"/>
      <c r="M1017" s="33"/>
      <c r="N1017" s="33"/>
      <c r="O1017" s="33"/>
      <c r="P1017" s="33"/>
      <c r="Q1017" s="33"/>
      <c r="R1017" s="33"/>
      <c r="S1017" s="33"/>
      <c r="T1017" s="33"/>
      <c r="U1017" s="33"/>
      <c r="V1017" s="33"/>
      <c r="W1017" s="33"/>
      <c r="X1017" s="33"/>
      <c r="Y1017" s="33"/>
      <c r="Z1017" s="33"/>
    </row>
    <row r="1018" ht="12.5" spans="1:26">
      <c r="A1018" s="33"/>
      <c r="B1018" s="33"/>
      <c r="C1018" s="33"/>
      <c r="D1018" s="33"/>
      <c r="E1018" s="33"/>
      <c r="F1018" s="33"/>
      <c r="G1018" s="33"/>
      <c r="H1018" s="33"/>
      <c r="I1018" s="33"/>
      <c r="J1018" s="33"/>
      <c r="K1018" s="33"/>
      <c r="L1018" s="33"/>
      <c r="M1018" s="33"/>
      <c r="N1018" s="33"/>
      <c r="O1018" s="33"/>
      <c r="P1018" s="33"/>
      <c r="Q1018" s="33"/>
      <c r="R1018" s="33"/>
      <c r="S1018" s="33"/>
      <c r="T1018" s="33"/>
      <c r="U1018" s="33"/>
      <c r="V1018" s="33"/>
      <c r="W1018" s="33"/>
      <c r="X1018" s="33"/>
      <c r="Y1018" s="33"/>
      <c r="Z1018" s="33"/>
    </row>
    <row r="1019" ht="12.5" spans="1:26">
      <c r="A1019" s="33"/>
      <c r="B1019" s="33"/>
      <c r="C1019" s="33"/>
      <c r="D1019" s="33"/>
      <c r="E1019" s="33"/>
      <c r="F1019" s="33"/>
      <c r="G1019" s="33"/>
      <c r="H1019" s="33"/>
      <c r="I1019" s="33"/>
      <c r="J1019" s="33"/>
      <c r="K1019" s="33"/>
      <c r="L1019" s="33"/>
      <c r="M1019" s="33"/>
      <c r="N1019" s="33"/>
      <c r="O1019" s="33"/>
      <c r="P1019" s="33"/>
      <c r="Q1019" s="33"/>
      <c r="R1019" s="33"/>
      <c r="S1019" s="33"/>
      <c r="T1019" s="33"/>
      <c r="U1019" s="33"/>
      <c r="V1019" s="33"/>
      <c r="W1019" s="33"/>
      <c r="X1019" s="33"/>
      <c r="Y1019" s="33"/>
      <c r="Z1019" s="33"/>
    </row>
    <row r="1020" ht="12.5" spans="1:26">
      <c r="A1020" s="33"/>
      <c r="B1020" s="33"/>
      <c r="C1020" s="33"/>
      <c r="D1020" s="33"/>
      <c r="E1020" s="33"/>
      <c r="F1020" s="33"/>
      <c r="G1020" s="33"/>
      <c r="H1020" s="33"/>
      <c r="I1020" s="33"/>
      <c r="J1020" s="33"/>
      <c r="K1020" s="33"/>
      <c r="L1020" s="33"/>
      <c r="M1020" s="33"/>
      <c r="N1020" s="33"/>
      <c r="O1020" s="33"/>
      <c r="P1020" s="33"/>
      <c r="Q1020" s="33"/>
      <c r="R1020" s="33"/>
      <c r="S1020" s="33"/>
      <c r="T1020" s="33"/>
      <c r="U1020" s="33"/>
      <c r="V1020" s="33"/>
      <c r="W1020" s="33"/>
      <c r="X1020" s="33"/>
      <c r="Y1020" s="33"/>
      <c r="Z1020" s="33"/>
    </row>
    <row r="1021" ht="12.5" spans="1:26">
      <c r="A1021" s="33"/>
      <c r="B1021" s="33"/>
      <c r="C1021" s="33"/>
      <c r="D1021" s="33"/>
      <c r="E1021" s="33"/>
      <c r="F1021" s="33"/>
      <c r="G1021" s="33"/>
      <c r="H1021" s="33"/>
      <c r="I1021" s="33"/>
      <c r="J1021" s="33"/>
      <c r="K1021" s="33"/>
      <c r="L1021" s="33"/>
      <c r="M1021" s="33"/>
      <c r="N1021" s="33"/>
      <c r="O1021" s="33"/>
      <c r="P1021" s="33"/>
      <c r="Q1021" s="33"/>
      <c r="R1021" s="33"/>
      <c r="S1021" s="33"/>
      <c r="T1021" s="33"/>
      <c r="U1021" s="33"/>
      <c r="V1021" s="33"/>
      <c r="W1021" s="33"/>
      <c r="X1021" s="33"/>
      <c r="Y1021" s="33"/>
      <c r="Z1021" s="33"/>
    </row>
    <row r="1022" ht="12.5" spans="1:26">
      <c r="A1022" s="33"/>
      <c r="B1022" s="33"/>
      <c r="C1022" s="33"/>
      <c r="D1022" s="33"/>
      <c r="E1022" s="33"/>
      <c r="F1022" s="33"/>
      <c r="G1022" s="33"/>
      <c r="H1022" s="33"/>
      <c r="I1022" s="33"/>
      <c r="J1022" s="33"/>
      <c r="K1022" s="33"/>
      <c r="L1022" s="33"/>
      <c r="M1022" s="33"/>
      <c r="N1022" s="33"/>
      <c r="O1022" s="33"/>
      <c r="P1022" s="33"/>
      <c r="Q1022" s="33"/>
      <c r="R1022" s="33"/>
      <c r="S1022" s="33"/>
      <c r="T1022" s="33"/>
      <c r="U1022" s="33"/>
      <c r="V1022" s="33"/>
      <c r="W1022" s="33"/>
      <c r="X1022" s="33"/>
      <c r="Y1022" s="33"/>
      <c r="Z1022" s="33"/>
    </row>
    <row r="1023" ht="12.5" spans="1:26">
      <c r="A1023" s="33"/>
      <c r="B1023" s="33"/>
      <c r="C1023" s="33"/>
      <c r="D1023" s="33"/>
      <c r="E1023" s="33"/>
      <c r="F1023" s="33"/>
      <c r="G1023" s="33"/>
      <c r="H1023" s="33"/>
      <c r="I1023" s="33"/>
      <c r="J1023" s="33"/>
      <c r="K1023" s="33"/>
      <c r="L1023" s="33"/>
      <c r="M1023" s="33"/>
      <c r="N1023" s="33"/>
      <c r="O1023" s="33"/>
      <c r="P1023" s="33"/>
      <c r="Q1023" s="33"/>
      <c r="R1023" s="33"/>
      <c r="S1023" s="33"/>
      <c r="T1023" s="33"/>
      <c r="U1023" s="33"/>
      <c r="V1023" s="33"/>
      <c r="W1023" s="33"/>
      <c r="X1023" s="33"/>
      <c r="Y1023" s="33"/>
      <c r="Z1023" s="33"/>
    </row>
    <row r="1024" ht="12.5" spans="1:26">
      <c r="A1024" s="33"/>
      <c r="B1024" s="33"/>
      <c r="C1024" s="33"/>
      <c r="D1024" s="33"/>
      <c r="E1024" s="33"/>
      <c r="F1024" s="33"/>
      <c r="G1024" s="33"/>
      <c r="H1024" s="33"/>
      <c r="I1024" s="33"/>
      <c r="J1024" s="33"/>
      <c r="K1024" s="33"/>
      <c r="L1024" s="33"/>
      <c r="M1024" s="33"/>
      <c r="N1024" s="33"/>
      <c r="O1024" s="33"/>
      <c r="P1024" s="33"/>
      <c r="Q1024" s="33"/>
      <c r="R1024" s="33"/>
      <c r="S1024" s="33"/>
      <c r="T1024" s="33"/>
      <c r="U1024" s="33"/>
      <c r="V1024" s="33"/>
      <c r="W1024" s="33"/>
      <c r="X1024" s="33"/>
      <c r="Y1024" s="33"/>
      <c r="Z1024" s="33"/>
    </row>
    <row r="1025" ht="12.5" spans="1:26">
      <c r="A1025" s="33"/>
      <c r="B1025" s="33"/>
      <c r="C1025" s="33"/>
      <c r="D1025" s="33"/>
      <c r="E1025" s="33"/>
      <c r="F1025" s="33"/>
      <c r="G1025" s="33"/>
      <c r="H1025" s="33"/>
      <c r="I1025" s="33"/>
      <c r="J1025" s="33"/>
      <c r="K1025" s="33"/>
      <c r="L1025" s="33"/>
      <c r="M1025" s="33"/>
      <c r="N1025" s="33"/>
      <c r="O1025" s="33"/>
      <c r="P1025" s="33"/>
      <c r="Q1025" s="33"/>
      <c r="R1025" s="33"/>
      <c r="S1025" s="33"/>
      <c r="T1025" s="33"/>
      <c r="U1025" s="33"/>
      <c r="V1025" s="33"/>
      <c r="W1025" s="33"/>
      <c r="X1025" s="33"/>
      <c r="Y1025" s="33"/>
      <c r="Z1025" s="33"/>
    </row>
    <row r="1026" ht="12.5" spans="1:26">
      <c r="A1026" s="33"/>
      <c r="B1026" s="33"/>
      <c r="C1026" s="33"/>
      <c r="D1026" s="33"/>
      <c r="E1026" s="33"/>
      <c r="F1026" s="33"/>
      <c r="G1026" s="33"/>
      <c r="H1026" s="33"/>
      <c r="I1026" s="33"/>
      <c r="J1026" s="33"/>
      <c r="K1026" s="33"/>
      <c r="L1026" s="33"/>
      <c r="M1026" s="33"/>
      <c r="N1026" s="33"/>
      <c r="O1026" s="33"/>
      <c r="P1026" s="33"/>
      <c r="Q1026" s="33"/>
      <c r="R1026" s="33"/>
      <c r="S1026" s="33"/>
      <c r="T1026" s="33"/>
      <c r="U1026" s="33"/>
      <c r="V1026" s="33"/>
      <c r="W1026" s="33"/>
      <c r="X1026" s="33"/>
      <c r="Y1026" s="33"/>
      <c r="Z1026" s="33"/>
    </row>
    <row r="1027" ht="12.5" spans="1:26">
      <c r="A1027" s="33"/>
      <c r="B1027" s="33"/>
      <c r="C1027" s="33"/>
      <c r="D1027" s="33"/>
      <c r="E1027" s="33"/>
      <c r="F1027" s="33"/>
      <c r="G1027" s="33"/>
      <c r="H1027" s="33"/>
      <c r="I1027" s="33"/>
      <c r="J1027" s="33"/>
      <c r="K1027" s="33"/>
      <c r="L1027" s="33"/>
      <c r="M1027" s="33"/>
      <c r="N1027" s="33"/>
      <c r="O1027" s="33"/>
      <c r="P1027" s="33"/>
      <c r="Q1027" s="33"/>
      <c r="R1027" s="33"/>
      <c r="S1027" s="33"/>
      <c r="T1027" s="33"/>
      <c r="U1027" s="33"/>
      <c r="V1027" s="33"/>
      <c r="W1027" s="33"/>
      <c r="X1027" s="33"/>
      <c r="Y1027" s="33"/>
      <c r="Z1027" s="33"/>
    </row>
    <row r="1028" ht="12.5" spans="1:26">
      <c r="A1028" s="33"/>
      <c r="B1028" s="33"/>
      <c r="C1028" s="33"/>
      <c r="D1028" s="33"/>
      <c r="E1028" s="33"/>
      <c r="F1028" s="33"/>
      <c r="G1028" s="33"/>
      <c r="H1028" s="33"/>
      <c r="I1028" s="33"/>
      <c r="J1028" s="33"/>
      <c r="K1028" s="33"/>
      <c r="L1028" s="33"/>
      <c r="M1028" s="33"/>
      <c r="N1028" s="33"/>
      <c r="O1028" s="33"/>
      <c r="P1028" s="33"/>
      <c r="Q1028" s="33"/>
      <c r="R1028" s="33"/>
      <c r="S1028" s="33"/>
      <c r="T1028" s="33"/>
      <c r="U1028" s="33"/>
      <c r="V1028" s="33"/>
      <c r="W1028" s="33"/>
      <c r="X1028" s="33"/>
      <c r="Y1028" s="33"/>
      <c r="Z1028" s="33"/>
    </row>
    <row r="1029" ht="12.5" spans="1:26">
      <c r="A1029" s="33"/>
      <c r="B1029" s="33"/>
      <c r="C1029" s="33"/>
      <c r="D1029" s="33"/>
      <c r="E1029" s="33"/>
      <c r="F1029" s="33"/>
      <c r="G1029" s="33"/>
      <c r="H1029" s="33"/>
      <c r="I1029" s="33"/>
      <c r="J1029" s="33"/>
      <c r="K1029" s="33"/>
      <c r="L1029" s="33"/>
      <c r="M1029" s="33"/>
      <c r="N1029" s="33"/>
      <c r="O1029" s="33"/>
      <c r="P1029" s="33"/>
      <c r="Q1029" s="33"/>
      <c r="R1029" s="33"/>
      <c r="S1029" s="33"/>
      <c r="T1029" s="33"/>
      <c r="U1029" s="33"/>
      <c r="V1029" s="33"/>
      <c r="W1029" s="33"/>
      <c r="X1029" s="33"/>
      <c r="Y1029" s="33"/>
      <c r="Z1029" s="33"/>
    </row>
    <row r="1030" ht="12.5" spans="1:26">
      <c r="A1030" s="33"/>
      <c r="B1030" s="33"/>
      <c r="C1030" s="33"/>
      <c r="D1030" s="33"/>
      <c r="E1030" s="33"/>
      <c r="F1030" s="33"/>
      <c r="G1030" s="33"/>
      <c r="H1030" s="33"/>
      <c r="I1030" s="33"/>
      <c r="J1030" s="33"/>
      <c r="K1030" s="33"/>
      <c r="L1030" s="33"/>
      <c r="M1030" s="33"/>
      <c r="N1030" s="33"/>
      <c r="O1030" s="33"/>
      <c r="P1030" s="33"/>
      <c r="Q1030" s="33"/>
      <c r="R1030" s="33"/>
      <c r="S1030" s="33"/>
      <c r="T1030" s="33"/>
      <c r="U1030" s="33"/>
      <c r="V1030" s="33"/>
      <c r="W1030" s="33"/>
      <c r="X1030" s="33"/>
      <c r="Y1030" s="33"/>
      <c r="Z1030" s="33"/>
    </row>
    <row r="1031" ht="12.5" spans="1:26">
      <c r="A1031" s="33"/>
      <c r="B1031" s="33"/>
      <c r="C1031" s="33"/>
      <c r="D1031" s="33"/>
      <c r="E1031" s="33"/>
      <c r="F1031" s="33"/>
      <c r="G1031" s="33"/>
      <c r="H1031" s="33"/>
      <c r="I1031" s="33"/>
      <c r="J1031" s="33"/>
      <c r="K1031" s="33"/>
      <c r="L1031" s="33"/>
      <c r="M1031" s="33"/>
      <c r="N1031" s="33"/>
      <c r="O1031" s="33"/>
      <c r="P1031" s="33"/>
      <c r="Q1031" s="33"/>
      <c r="R1031" s="33"/>
      <c r="S1031" s="33"/>
      <c r="T1031" s="33"/>
      <c r="U1031" s="33"/>
      <c r="V1031" s="33"/>
      <c r="W1031" s="33"/>
      <c r="X1031" s="33"/>
      <c r="Y1031" s="33"/>
      <c r="Z1031" s="33"/>
    </row>
    <row r="1032" ht="12.5" spans="1:26">
      <c r="A1032" s="33"/>
      <c r="B1032" s="33"/>
      <c r="C1032" s="33"/>
      <c r="D1032" s="33"/>
      <c r="E1032" s="33"/>
      <c r="F1032" s="33"/>
      <c r="G1032" s="33"/>
      <c r="H1032" s="33"/>
      <c r="I1032" s="33"/>
      <c r="J1032" s="33"/>
      <c r="K1032" s="33"/>
      <c r="L1032" s="33"/>
      <c r="M1032" s="33"/>
      <c r="N1032" s="33"/>
      <c r="O1032" s="33"/>
      <c r="P1032" s="33"/>
      <c r="Q1032" s="33"/>
      <c r="R1032" s="33"/>
      <c r="S1032" s="33"/>
      <c r="T1032" s="33"/>
      <c r="U1032" s="33"/>
      <c r="V1032" s="33"/>
      <c r="W1032" s="33"/>
      <c r="X1032" s="33"/>
      <c r="Y1032" s="33"/>
      <c r="Z1032" s="33"/>
    </row>
    <row r="1033" ht="12.5" spans="1:26">
      <c r="A1033" s="33"/>
      <c r="B1033" s="33"/>
      <c r="C1033" s="33"/>
      <c r="D1033" s="33"/>
      <c r="E1033" s="33"/>
      <c r="F1033" s="33"/>
      <c r="G1033" s="33"/>
      <c r="H1033" s="33"/>
      <c r="I1033" s="33"/>
      <c r="J1033" s="33"/>
      <c r="K1033" s="33"/>
      <c r="L1033" s="33"/>
      <c r="M1033" s="33"/>
      <c r="N1033" s="33"/>
      <c r="O1033" s="33"/>
      <c r="P1033" s="33"/>
      <c r="Q1033" s="33"/>
      <c r="R1033" s="33"/>
      <c r="S1033" s="33"/>
      <c r="T1033" s="33"/>
      <c r="U1033" s="33"/>
      <c r="V1033" s="33"/>
      <c r="W1033" s="33"/>
      <c r="X1033" s="33"/>
      <c r="Y1033" s="33"/>
      <c r="Z1033" s="33"/>
    </row>
    <row r="1034" ht="12.5" spans="1:26">
      <c r="A1034" s="33"/>
      <c r="B1034" s="33"/>
      <c r="C1034" s="33"/>
      <c r="D1034" s="33"/>
      <c r="E1034" s="33"/>
      <c r="F1034" s="33"/>
      <c r="G1034" s="33"/>
      <c r="H1034" s="33"/>
      <c r="I1034" s="33"/>
      <c r="J1034" s="33"/>
      <c r="K1034" s="33"/>
      <c r="L1034" s="33"/>
      <c r="M1034" s="33"/>
      <c r="N1034" s="33"/>
      <c r="O1034" s="33"/>
      <c r="P1034" s="33"/>
      <c r="Q1034" s="33"/>
      <c r="R1034" s="33"/>
      <c r="S1034" s="33"/>
      <c r="T1034" s="33"/>
      <c r="U1034" s="33"/>
      <c r="V1034" s="33"/>
      <c r="W1034" s="33"/>
      <c r="X1034" s="33"/>
      <c r="Y1034" s="33"/>
      <c r="Z1034" s="33"/>
    </row>
    <row r="1035" ht="12.5" spans="1:26">
      <c r="A1035" s="33"/>
      <c r="B1035" s="33"/>
      <c r="C1035" s="33"/>
      <c r="D1035" s="33"/>
      <c r="E1035" s="33"/>
      <c r="F1035" s="33"/>
      <c r="G1035" s="33"/>
      <c r="H1035" s="33"/>
      <c r="I1035" s="33"/>
      <c r="J1035" s="33"/>
      <c r="K1035" s="33"/>
      <c r="L1035" s="33"/>
      <c r="M1035" s="33"/>
      <c r="N1035" s="33"/>
      <c r="O1035" s="33"/>
      <c r="P1035" s="33"/>
      <c r="Q1035" s="33"/>
      <c r="R1035" s="33"/>
      <c r="S1035" s="33"/>
      <c r="T1035" s="33"/>
      <c r="U1035" s="33"/>
      <c r="V1035" s="33"/>
      <c r="W1035" s="33"/>
      <c r="X1035" s="33"/>
      <c r="Y1035" s="33"/>
      <c r="Z1035" s="33"/>
    </row>
    <row r="1036" ht="12.5" spans="1:26">
      <c r="A1036" s="33"/>
      <c r="B1036" s="33"/>
      <c r="C1036" s="33"/>
      <c r="D1036" s="33"/>
      <c r="E1036" s="33"/>
      <c r="F1036" s="33"/>
      <c r="G1036" s="33"/>
      <c r="H1036" s="33"/>
      <c r="I1036" s="33"/>
      <c r="J1036" s="33"/>
      <c r="K1036" s="33"/>
      <c r="L1036" s="33"/>
      <c r="M1036" s="33"/>
      <c r="N1036" s="33"/>
      <c r="O1036" s="33"/>
      <c r="P1036" s="33"/>
      <c r="Q1036" s="33"/>
      <c r="R1036" s="33"/>
      <c r="S1036" s="33"/>
      <c r="T1036" s="33"/>
      <c r="U1036" s="33"/>
      <c r="V1036" s="33"/>
      <c r="W1036" s="33"/>
      <c r="X1036" s="33"/>
      <c r="Y1036" s="33"/>
      <c r="Z1036" s="33"/>
    </row>
    <row r="1037" ht="12.5" spans="1:26">
      <c r="A1037" s="33"/>
      <c r="B1037" s="33"/>
      <c r="C1037" s="33"/>
      <c r="D1037" s="33"/>
      <c r="E1037" s="33"/>
      <c r="F1037" s="33"/>
      <c r="G1037" s="33"/>
      <c r="H1037" s="33"/>
      <c r="I1037" s="33"/>
      <c r="J1037" s="33"/>
      <c r="K1037" s="33"/>
      <c r="L1037" s="33"/>
      <c r="M1037" s="33"/>
      <c r="N1037" s="33"/>
      <c r="O1037" s="33"/>
      <c r="P1037" s="33"/>
      <c r="Q1037" s="33"/>
      <c r="R1037" s="33"/>
      <c r="S1037" s="33"/>
      <c r="T1037" s="33"/>
      <c r="U1037" s="33"/>
      <c r="V1037" s="33"/>
      <c r="W1037" s="33"/>
      <c r="X1037" s="33"/>
      <c r="Y1037" s="33"/>
      <c r="Z1037" s="33"/>
    </row>
    <row r="1038" ht="12.5" spans="1:26">
      <c r="A1038" s="33"/>
      <c r="B1038" s="33"/>
      <c r="C1038" s="33"/>
      <c r="D1038" s="33"/>
      <c r="E1038" s="33"/>
      <c r="F1038" s="33"/>
      <c r="G1038" s="33"/>
      <c r="H1038" s="33"/>
      <c r="I1038" s="33"/>
      <c r="J1038" s="33"/>
      <c r="K1038" s="33"/>
      <c r="L1038" s="33"/>
      <c r="M1038" s="33"/>
      <c r="N1038" s="33"/>
      <c r="O1038" s="33"/>
      <c r="P1038" s="33"/>
      <c r="Q1038" s="33"/>
      <c r="R1038" s="33"/>
      <c r="S1038" s="33"/>
      <c r="T1038" s="33"/>
      <c r="U1038" s="33"/>
      <c r="V1038" s="33"/>
      <c r="W1038" s="33"/>
      <c r="X1038" s="33"/>
      <c r="Y1038" s="33"/>
      <c r="Z1038" s="33"/>
    </row>
    <row r="1039" ht="12.5" spans="1:26">
      <c r="A1039" s="33"/>
      <c r="B1039" s="33"/>
      <c r="C1039" s="33"/>
      <c r="D1039" s="33"/>
      <c r="E1039" s="33"/>
      <c r="F1039" s="33"/>
      <c r="G1039" s="33"/>
      <c r="H1039" s="33"/>
      <c r="I1039" s="33"/>
      <c r="J1039" s="33"/>
      <c r="K1039" s="33"/>
      <c r="L1039" s="33"/>
      <c r="M1039" s="33"/>
      <c r="N1039" s="33"/>
      <c r="O1039" s="33"/>
      <c r="P1039" s="33"/>
      <c r="Q1039" s="33"/>
      <c r="R1039" s="33"/>
      <c r="S1039" s="33"/>
      <c r="T1039" s="33"/>
      <c r="U1039" s="33"/>
      <c r="V1039" s="33"/>
      <c r="W1039" s="33"/>
      <c r="X1039" s="33"/>
      <c r="Y1039" s="33"/>
      <c r="Z1039" s="33"/>
    </row>
    <row r="1040" ht="12.5" spans="1:26">
      <c r="A1040" s="33"/>
      <c r="B1040" s="33"/>
      <c r="C1040" s="33"/>
      <c r="D1040" s="33"/>
      <c r="E1040" s="33"/>
      <c r="F1040" s="33"/>
      <c r="G1040" s="33"/>
      <c r="H1040" s="33"/>
      <c r="I1040" s="33"/>
      <c r="J1040" s="33"/>
      <c r="K1040" s="33"/>
      <c r="L1040" s="33"/>
      <c r="M1040" s="33"/>
      <c r="N1040" s="33"/>
      <c r="O1040" s="33"/>
      <c r="P1040" s="33"/>
      <c r="Q1040" s="33"/>
      <c r="R1040" s="33"/>
      <c r="S1040" s="33"/>
      <c r="T1040" s="33"/>
      <c r="U1040" s="33"/>
      <c r="V1040" s="33"/>
      <c r="W1040" s="33"/>
      <c r="X1040" s="33"/>
      <c r="Y1040" s="33"/>
      <c r="Z1040" s="33"/>
    </row>
    <row r="1041" ht="12.5" spans="1:26">
      <c r="A1041" s="33"/>
      <c r="B1041" s="33"/>
      <c r="C1041" s="33"/>
      <c r="D1041" s="33"/>
      <c r="E1041" s="33"/>
      <c r="F1041" s="33"/>
      <c r="G1041" s="33"/>
      <c r="H1041" s="33"/>
      <c r="I1041" s="33"/>
      <c r="J1041" s="33"/>
      <c r="K1041" s="33"/>
      <c r="L1041" s="33"/>
      <c r="M1041" s="33"/>
      <c r="N1041" s="33"/>
      <c r="O1041" s="33"/>
      <c r="P1041" s="33"/>
      <c r="Q1041" s="33"/>
      <c r="R1041" s="33"/>
      <c r="S1041" s="33"/>
      <c r="T1041" s="33"/>
      <c r="U1041" s="33"/>
      <c r="V1041" s="33"/>
      <c r="W1041" s="33"/>
      <c r="X1041" s="33"/>
      <c r="Y1041" s="33"/>
      <c r="Z1041" s="33"/>
    </row>
    <row r="1042" ht="12.5" spans="1:26">
      <c r="A1042" s="33"/>
      <c r="B1042" s="33"/>
      <c r="C1042" s="33"/>
      <c r="D1042" s="33"/>
      <c r="E1042" s="33"/>
      <c r="F1042" s="33"/>
      <c r="G1042" s="33"/>
      <c r="H1042" s="33"/>
      <c r="I1042" s="33"/>
      <c r="J1042" s="33"/>
      <c r="K1042" s="33"/>
      <c r="L1042" s="33"/>
      <c r="M1042" s="33"/>
      <c r="N1042" s="33"/>
      <c r="O1042" s="33"/>
      <c r="P1042" s="33"/>
      <c r="Q1042" s="33"/>
      <c r="R1042" s="33"/>
      <c r="S1042" s="33"/>
      <c r="T1042" s="33"/>
      <c r="U1042" s="33"/>
      <c r="V1042" s="33"/>
      <c r="W1042" s="33"/>
      <c r="X1042" s="33"/>
      <c r="Y1042" s="33"/>
      <c r="Z1042" s="33"/>
    </row>
    <row r="1043" ht="12.5" spans="1:26">
      <c r="A1043" s="33"/>
      <c r="B1043" s="33"/>
      <c r="C1043" s="33"/>
      <c r="D1043" s="33"/>
      <c r="E1043" s="33"/>
      <c r="F1043" s="33"/>
      <c r="G1043" s="33"/>
      <c r="H1043" s="33"/>
      <c r="I1043" s="33"/>
      <c r="J1043" s="33"/>
      <c r="K1043" s="33"/>
      <c r="L1043" s="33"/>
      <c r="M1043" s="33"/>
      <c r="N1043" s="33"/>
      <c r="O1043" s="33"/>
      <c r="P1043" s="33"/>
      <c r="Q1043" s="33"/>
      <c r="R1043" s="33"/>
      <c r="S1043" s="33"/>
      <c r="T1043" s="33"/>
      <c r="U1043" s="33"/>
      <c r="V1043" s="33"/>
      <c r="W1043" s="33"/>
      <c r="X1043" s="33"/>
      <c r="Y1043" s="33"/>
      <c r="Z1043" s="33"/>
    </row>
    <row r="1044" ht="12.5" spans="1:26">
      <c r="A1044" s="33"/>
      <c r="B1044" s="33"/>
      <c r="C1044" s="33"/>
      <c r="D1044" s="33"/>
      <c r="E1044" s="33"/>
      <c r="F1044" s="33"/>
      <c r="G1044" s="33"/>
      <c r="H1044" s="33"/>
      <c r="I1044" s="33"/>
      <c r="J1044" s="33"/>
      <c r="K1044" s="33"/>
      <c r="L1044" s="33"/>
      <c r="M1044" s="33"/>
      <c r="N1044" s="33"/>
      <c r="O1044" s="33"/>
      <c r="P1044" s="33"/>
      <c r="Q1044" s="33"/>
      <c r="R1044" s="33"/>
      <c r="S1044" s="33"/>
      <c r="T1044" s="33"/>
      <c r="U1044" s="33"/>
      <c r="V1044" s="33"/>
      <c r="W1044" s="33"/>
      <c r="X1044" s="33"/>
      <c r="Y1044" s="33"/>
      <c r="Z1044" s="33"/>
    </row>
    <row r="1045" ht="12.5" spans="1:26">
      <c r="A1045" s="33"/>
      <c r="B1045" s="33"/>
      <c r="C1045" s="33"/>
      <c r="D1045" s="33"/>
      <c r="E1045" s="33"/>
      <c r="F1045" s="33"/>
      <c r="G1045" s="33"/>
      <c r="H1045" s="33"/>
      <c r="I1045" s="33"/>
      <c r="J1045" s="33"/>
      <c r="K1045" s="33"/>
      <c r="L1045" s="33"/>
      <c r="M1045" s="33"/>
      <c r="N1045" s="33"/>
      <c r="O1045" s="33"/>
      <c r="P1045" s="33"/>
      <c r="Q1045" s="33"/>
      <c r="R1045" s="33"/>
      <c r="S1045" s="33"/>
      <c r="T1045" s="33"/>
      <c r="U1045" s="33"/>
      <c r="V1045" s="33"/>
      <c r="W1045" s="33"/>
      <c r="X1045" s="33"/>
      <c r="Y1045" s="33"/>
      <c r="Z1045" s="33"/>
    </row>
    <row r="1046" ht="12.5" spans="1:26">
      <c r="A1046" s="33"/>
      <c r="B1046" s="33"/>
      <c r="C1046" s="33"/>
      <c r="D1046" s="33"/>
      <c r="E1046" s="33"/>
      <c r="F1046" s="33"/>
      <c r="G1046" s="33"/>
      <c r="H1046" s="33"/>
      <c r="I1046" s="33"/>
      <c r="J1046" s="33"/>
      <c r="K1046" s="33"/>
      <c r="L1046" s="33"/>
      <c r="M1046" s="33"/>
      <c r="N1046" s="33"/>
      <c r="O1046" s="33"/>
      <c r="P1046" s="33"/>
      <c r="Q1046" s="33"/>
      <c r="R1046" s="33"/>
      <c r="S1046" s="33"/>
      <c r="T1046" s="33"/>
      <c r="U1046" s="33"/>
      <c r="V1046" s="33"/>
      <c r="W1046" s="33"/>
      <c r="X1046" s="33"/>
      <c r="Y1046" s="33"/>
      <c r="Z1046" s="33"/>
    </row>
    <row r="1047" ht="12.5" spans="1:26">
      <c r="A1047" s="33"/>
      <c r="B1047" s="33"/>
      <c r="C1047" s="33"/>
      <c r="D1047" s="33"/>
      <c r="E1047" s="33"/>
      <c r="F1047" s="33"/>
      <c r="G1047" s="33"/>
      <c r="H1047" s="33"/>
      <c r="I1047" s="33"/>
      <c r="J1047" s="33"/>
      <c r="K1047" s="33"/>
      <c r="L1047" s="33"/>
      <c r="M1047" s="33"/>
      <c r="N1047" s="33"/>
      <c r="O1047" s="33"/>
      <c r="P1047" s="33"/>
      <c r="Q1047" s="33"/>
      <c r="R1047" s="33"/>
      <c r="S1047" s="33"/>
      <c r="T1047" s="33"/>
      <c r="U1047" s="33"/>
      <c r="V1047" s="33"/>
      <c r="W1047" s="33"/>
      <c r="X1047" s="33"/>
      <c r="Y1047" s="33"/>
      <c r="Z1047" s="33"/>
    </row>
    <row r="1048" ht="12.5" spans="1:26">
      <c r="A1048" s="33"/>
      <c r="B1048" s="33"/>
      <c r="C1048" s="33"/>
      <c r="D1048" s="33"/>
      <c r="E1048" s="33"/>
      <c r="F1048" s="33"/>
      <c r="G1048" s="33"/>
      <c r="H1048" s="33"/>
      <c r="I1048" s="33"/>
      <c r="J1048" s="33"/>
      <c r="K1048" s="33"/>
      <c r="L1048" s="33"/>
      <c r="M1048" s="33"/>
      <c r="N1048" s="33"/>
      <c r="O1048" s="33"/>
      <c r="P1048" s="33"/>
      <c r="Q1048" s="33"/>
      <c r="R1048" s="33"/>
      <c r="S1048" s="33"/>
      <c r="T1048" s="33"/>
      <c r="U1048" s="33"/>
      <c r="V1048" s="33"/>
      <c r="W1048" s="33"/>
      <c r="X1048" s="33"/>
      <c r="Y1048" s="33"/>
      <c r="Z1048" s="33"/>
    </row>
  </sheetData>
  <mergeCells count="76">
    <mergeCell ref="A7:I7"/>
    <mergeCell ref="A8:I8"/>
    <mergeCell ref="B18:C18"/>
    <mergeCell ref="A19:I19"/>
    <mergeCell ref="A22:I22"/>
    <mergeCell ref="A24:I24"/>
    <mergeCell ref="A25:I25"/>
    <mergeCell ref="B39:C39"/>
    <mergeCell ref="B40:C40"/>
    <mergeCell ref="B41:C41"/>
    <mergeCell ref="B42:C42"/>
    <mergeCell ref="B43:C43"/>
    <mergeCell ref="B71:C71"/>
    <mergeCell ref="B72:C72"/>
    <mergeCell ref="B73:C73"/>
    <mergeCell ref="B74:C74"/>
    <mergeCell ref="B75:C75"/>
    <mergeCell ref="B76:C76"/>
    <mergeCell ref="B77:C77"/>
    <mergeCell ref="B78:C78"/>
    <mergeCell ref="A79:I79"/>
    <mergeCell ref="B80:C80"/>
    <mergeCell ref="B81:C81"/>
    <mergeCell ref="B82:C82"/>
    <mergeCell ref="B83:C83"/>
    <mergeCell ref="B84:C84"/>
    <mergeCell ref="B85:C85"/>
    <mergeCell ref="B86:C86"/>
    <mergeCell ref="B87:C87"/>
    <mergeCell ref="B88:C88"/>
    <mergeCell ref="A89:I89"/>
    <mergeCell ref="B90:C90"/>
    <mergeCell ref="B91:C91"/>
    <mergeCell ref="B95:C95"/>
    <mergeCell ref="B96:C96"/>
    <mergeCell ref="B97:C97"/>
    <mergeCell ref="B98:C98"/>
    <mergeCell ref="B99:C99"/>
    <mergeCell ref="B100:C100"/>
    <mergeCell ref="B101:C101"/>
    <mergeCell ref="B102:C102"/>
    <mergeCell ref="B103:C103"/>
    <mergeCell ref="B104:C104"/>
    <mergeCell ref="B109:C109"/>
    <mergeCell ref="B9:B15"/>
    <mergeCell ref="B20:B21"/>
    <mergeCell ref="B26:B38"/>
    <mergeCell ref="B44:B45"/>
    <mergeCell ref="B46:B52"/>
    <mergeCell ref="B53:B55"/>
    <mergeCell ref="B56:B60"/>
    <mergeCell ref="B61:B63"/>
    <mergeCell ref="B64:B70"/>
    <mergeCell ref="B92:B94"/>
    <mergeCell ref="B105:B106"/>
    <mergeCell ref="B107:B108"/>
    <mergeCell ref="D9:D18"/>
    <mergeCell ref="D26:D38"/>
    <mergeCell ref="D39:D43"/>
    <mergeCell ref="D46:D52"/>
    <mergeCell ref="D53:D55"/>
    <mergeCell ref="D56:D60"/>
    <mergeCell ref="D61:D63"/>
    <mergeCell ref="D64:D68"/>
    <mergeCell ref="D83:D88"/>
    <mergeCell ref="D90:D94"/>
    <mergeCell ref="D98:D109"/>
    <mergeCell ref="F28:F38"/>
    <mergeCell ref="F44:F45"/>
    <mergeCell ref="F72:F74"/>
    <mergeCell ref="F100:F101"/>
    <mergeCell ref="G28:G38"/>
    <mergeCell ref="G44:G45"/>
    <mergeCell ref="I1:I5"/>
    <mergeCell ref="A1:B5"/>
    <mergeCell ref="F1:H5"/>
  </mergeCells>
  <dataValidations count="1">
    <dataValidation type="list" allowBlank="1" showErrorMessage="1" sqref="H23 H9:H18 H20:H21 H26:H78 H80:H88 H90:H109">
      <formula1>"PASSED,FAILED,UNTESTED,BLOCKED"</formula1>
    </dataValidation>
  </dataValidations>
  <hyperlinks>
    <hyperlink ref="D9" r:id="rId1" display="open http://14.176.232.213:8080/EBankingWebsite/faces/banktransfer.xhtml and login successful"/>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outlinePr summaryBelow="0" summaryRight="0"/>
  </sheetPr>
  <dimension ref="A1:Z1022"/>
  <sheetViews>
    <sheetView topLeftCell="A9" workbookViewId="0">
      <selection activeCell="A82" sqref="$A8:$XFD82"/>
    </sheetView>
  </sheetViews>
  <sheetFormatPr defaultColWidth="12.6272727272727" defaultRowHeight="15" customHeight="1"/>
  <cols>
    <col min="2" max="2" width="28.8818181818182" customWidth="1"/>
    <col min="3" max="3" width="27.8818181818182" customWidth="1"/>
    <col min="4" max="4" width="24" customWidth="1"/>
    <col min="5" max="5" width="31.7545454545455" customWidth="1"/>
    <col min="6" max="6" width="30.6272727272727" customWidth="1"/>
    <col min="7" max="7" width="21.1272727272727" customWidth="1"/>
    <col min="8" max="8" width="15.8818181818182" customWidth="1"/>
  </cols>
  <sheetData>
    <row r="1" customHeight="1" spans="1:26">
      <c r="A1" s="1"/>
      <c r="B1" s="2"/>
      <c r="C1" s="3"/>
      <c r="D1" s="4" t="s">
        <v>132</v>
      </c>
      <c r="E1" s="4">
        <v>74</v>
      </c>
      <c r="F1" s="5"/>
      <c r="G1" s="6"/>
      <c r="H1" s="2"/>
      <c r="I1" s="26"/>
      <c r="J1" s="27"/>
      <c r="K1" s="27"/>
      <c r="L1" s="27"/>
      <c r="M1" s="27"/>
      <c r="N1" s="27"/>
      <c r="O1" s="27"/>
      <c r="P1" s="27"/>
      <c r="Q1" s="27"/>
      <c r="R1" s="27"/>
      <c r="S1" s="27"/>
      <c r="T1" s="27"/>
      <c r="U1" s="27"/>
      <c r="V1" s="27"/>
      <c r="W1" s="27"/>
      <c r="X1" s="27"/>
      <c r="Y1" s="27"/>
      <c r="Z1" s="27"/>
    </row>
    <row r="2" customHeight="1" spans="1:26">
      <c r="A2" s="7"/>
      <c r="B2" s="8"/>
      <c r="C2" s="3"/>
      <c r="D2" s="4" t="s">
        <v>133</v>
      </c>
      <c r="E2" s="4">
        <v>44</v>
      </c>
      <c r="F2" s="7"/>
      <c r="H2" s="8"/>
      <c r="I2" s="19"/>
      <c r="J2" s="27"/>
      <c r="K2" s="27"/>
      <c r="L2" s="27"/>
      <c r="M2" s="27"/>
      <c r="N2" s="27"/>
      <c r="O2" s="27"/>
      <c r="P2" s="27"/>
      <c r="Q2" s="27"/>
      <c r="R2" s="27"/>
      <c r="S2" s="27"/>
      <c r="T2" s="27"/>
      <c r="U2" s="27"/>
      <c r="V2" s="27"/>
      <c r="W2" s="27"/>
      <c r="X2" s="27"/>
      <c r="Y2" s="27"/>
      <c r="Z2" s="27"/>
    </row>
    <row r="3" customHeight="1" spans="1:26">
      <c r="A3" s="7"/>
      <c r="B3" s="8"/>
      <c r="C3" s="3"/>
      <c r="D3" s="4" t="s">
        <v>134</v>
      </c>
      <c r="E3" s="4">
        <v>25</v>
      </c>
      <c r="F3" s="7"/>
      <c r="H3" s="8"/>
      <c r="I3" s="19"/>
      <c r="J3" s="27"/>
      <c r="K3" s="27"/>
      <c r="L3" s="27"/>
      <c r="M3" s="27"/>
      <c r="N3" s="27"/>
      <c r="O3" s="27"/>
      <c r="P3" s="27"/>
      <c r="Q3" s="27"/>
      <c r="R3" s="27"/>
      <c r="S3" s="27"/>
      <c r="T3" s="27"/>
      <c r="U3" s="27"/>
      <c r="V3" s="27"/>
      <c r="W3" s="27"/>
      <c r="X3" s="27"/>
      <c r="Y3" s="27"/>
      <c r="Z3" s="27"/>
    </row>
    <row r="4" customHeight="1" spans="1:26">
      <c r="A4" s="7"/>
      <c r="B4" s="8"/>
      <c r="C4" s="3"/>
      <c r="D4" s="4" t="s">
        <v>135</v>
      </c>
      <c r="E4" s="4">
        <v>0</v>
      </c>
      <c r="F4" s="7"/>
      <c r="H4" s="8"/>
      <c r="I4" s="19"/>
      <c r="J4" s="27"/>
      <c r="K4" s="27"/>
      <c r="L4" s="27"/>
      <c r="M4" s="27"/>
      <c r="N4" s="27"/>
      <c r="O4" s="27"/>
      <c r="P4" s="27"/>
      <c r="Q4" s="27"/>
      <c r="R4" s="27"/>
      <c r="S4" s="27"/>
      <c r="T4" s="27"/>
      <c r="U4" s="27"/>
      <c r="V4" s="27"/>
      <c r="W4" s="27"/>
      <c r="X4" s="27"/>
      <c r="Y4" s="27"/>
      <c r="Z4" s="27"/>
    </row>
    <row r="5" customHeight="1" spans="1:26">
      <c r="A5" s="9"/>
      <c r="B5" s="10"/>
      <c r="C5" s="3"/>
      <c r="D5" s="4" t="s">
        <v>136</v>
      </c>
      <c r="E5" s="4">
        <v>5</v>
      </c>
      <c r="F5" s="9"/>
      <c r="G5" s="11"/>
      <c r="H5" s="10"/>
      <c r="I5" s="20"/>
      <c r="J5" s="27"/>
      <c r="K5" s="27"/>
      <c r="L5" s="27"/>
      <c r="M5" s="27"/>
      <c r="N5" s="27"/>
      <c r="O5" s="27"/>
      <c r="P5" s="27"/>
      <c r="Q5" s="27"/>
      <c r="R5" s="27"/>
      <c r="S5" s="27"/>
      <c r="T5" s="27"/>
      <c r="U5" s="27"/>
      <c r="V5" s="27"/>
      <c r="W5" s="27"/>
      <c r="X5" s="27"/>
      <c r="Y5" s="27"/>
      <c r="Z5" s="27"/>
    </row>
    <row r="6" customHeight="1" spans="1:26">
      <c r="A6" s="12" t="s">
        <v>137</v>
      </c>
      <c r="B6" s="12" t="s">
        <v>138</v>
      </c>
      <c r="C6" s="12"/>
      <c r="D6" s="12" t="s">
        <v>139</v>
      </c>
      <c r="E6" s="12" t="s">
        <v>140</v>
      </c>
      <c r="F6" s="12" t="s">
        <v>141</v>
      </c>
      <c r="G6" s="12" t="s">
        <v>142</v>
      </c>
      <c r="H6" s="12" t="s">
        <v>143</v>
      </c>
      <c r="I6" s="12" t="s">
        <v>144</v>
      </c>
      <c r="J6" s="27"/>
      <c r="K6" s="27"/>
      <c r="L6" s="27"/>
      <c r="M6" s="27"/>
      <c r="N6" s="27"/>
      <c r="O6" s="27"/>
      <c r="P6" s="27"/>
      <c r="Q6" s="27"/>
      <c r="R6" s="27"/>
      <c r="S6" s="27"/>
      <c r="T6" s="27"/>
      <c r="U6" s="27"/>
      <c r="V6" s="27"/>
      <c r="W6" s="27"/>
      <c r="X6" s="27"/>
      <c r="Y6" s="27"/>
      <c r="Z6" s="27"/>
    </row>
    <row r="7" customHeight="1" spans="1:26">
      <c r="A7" s="13" t="s">
        <v>145</v>
      </c>
      <c r="B7" s="14"/>
      <c r="C7" s="14"/>
      <c r="D7" s="14"/>
      <c r="E7" s="14"/>
      <c r="F7" s="14"/>
      <c r="G7" s="14"/>
      <c r="H7" s="14"/>
      <c r="I7" s="22"/>
      <c r="J7" s="27"/>
      <c r="K7" s="27"/>
      <c r="L7" s="27"/>
      <c r="M7" s="27"/>
      <c r="N7" s="27"/>
      <c r="O7" s="27"/>
      <c r="P7" s="27"/>
      <c r="Q7" s="27"/>
      <c r="R7" s="27"/>
      <c r="S7" s="27"/>
      <c r="T7" s="27"/>
      <c r="U7" s="27"/>
      <c r="V7" s="27"/>
      <c r="W7" s="27"/>
      <c r="X7" s="27"/>
      <c r="Y7" s="27"/>
      <c r="Z7" s="27"/>
    </row>
    <row r="8" ht="37.5" spans="1:26">
      <c r="A8" s="15" t="s">
        <v>789</v>
      </c>
      <c r="B8" s="16" t="s">
        <v>790</v>
      </c>
      <c r="C8" s="15" t="s">
        <v>148</v>
      </c>
      <c r="D8" s="17" t="s">
        <v>791</v>
      </c>
      <c r="E8" s="15" t="s">
        <v>792</v>
      </c>
      <c r="F8" s="15" t="s">
        <v>793</v>
      </c>
      <c r="G8" s="15" t="s">
        <v>794</v>
      </c>
      <c r="H8" s="18" t="s">
        <v>134</v>
      </c>
      <c r="I8" s="15" t="s">
        <v>795</v>
      </c>
      <c r="J8" s="27"/>
      <c r="K8" s="27"/>
      <c r="L8" s="27"/>
      <c r="M8" s="27"/>
      <c r="N8" s="27"/>
      <c r="O8" s="27"/>
      <c r="P8" s="27"/>
      <c r="Q8" s="27"/>
      <c r="R8" s="27"/>
      <c r="S8" s="27"/>
      <c r="T8" s="27"/>
      <c r="U8" s="27"/>
      <c r="V8" s="27"/>
      <c r="W8" s="27"/>
      <c r="X8" s="27"/>
      <c r="Y8" s="27"/>
      <c r="Z8" s="27"/>
    </row>
    <row r="9" ht="62.5" spans="1:26">
      <c r="A9" s="15" t="s">
        <v>796</v>
      </c>
      <c r="B9" s="19"/>
      <c r="C9" s="15" t="s">
        <v>89</v>
      </c>
      <c r="D9" s="19"/>
      <c r="E9" s="15" t="s">
        <v>797</v>
      </c>
      <c r="F9" s="15" t="s">
        <v>798</v>
      </c>
      <c r="G9" s="15"/>
      <c r="H9" s="18" t="s">
        <v>133</v>
      </c>
      <c r="I9" s="15"/>
      <c r="J9" s="27"/>
      <c r="K9" s="27"/>
      <c r="L9" s="27"/>
      <c r="M9" s="27"/>
      <c r="N9" s="27"/>
      <c r="O9" s="27"/>
      <c r="P9" s="27"/>
      <c r="Q9" s="27"/>
      <c r="R9" s="27"/>
      <c r="S9" s="27"/>
      <c r="T9" s="27"/>
      <c r="U9" s="27"/>
      <c r="V9" s="27"/>
      <c r="W9" s="27"/>
      <c r="X9" s="27"/>
      <c r="Y9" s="27"/>
      <c r="Z9" s="27"/>
    </row>
    <row r="10" ht="50" spans="1:26">
      <c r="A10" s="15" t="s">
        <v>799</v>
      </c>
      <c r="B10" s="19"/>
      <c r="C10" s="15" t="s">
        <v>90</v>
      </c>
      <c r="D10" s="19"/>
      <c r="E10" s="15" t="s">
        <v>800</v>
      </c>
      <c r="F10" s="15" t="s">
        <v>801</v>
      </c>
      <c r="G10" s="15"/>
      <c r="H10" s="18" t="s">
        <v>133</v>
      </c>
      <c r="I10" s="15"/>
      <c r="J10" s="27"/>
      <c r="K10" s="27"/>
      <c r="L10" s="27"/>
      <c r="M10" s="27"/>
      <c r="N10" s="27"/>
      <c r="O10" s="27"/>
      <c r="P10" s="27"/>
      <c r="Q10" s="27"/>
      <c r="R10" s="27"/>
      <c r="S10" s="27"/>
      <c r="T10" s="27"/>
      <c r="U10" s="27"/>
      <c r="V10" s="27"/>
      <c r="W10" s="27"/>
      <c r="X10" s="27"/>
      <c r="Y10" s="27"/>
      <c r="Z10" s="27"/>
    </row>
    <row r="11" ht="50" spans="1:26">
      <c r="A11" s="15" t="s">
        <v>802</v>
      </c>
      <c r="B11" s="20"/>
      <c r="C11" s="15" t="s">
        <v>96</v>
      </c>
      <c r="D11" s="19"/>
      <c r="E11" s="15" t="s">
        <v>803</v>
      </c>
      <c r="F11" s="15" t="s">
        <v>804</v>
      </c>
      <c r="G11" s="15"/>
      <c r="H11" s="18" t="s">
        <v>133</v>
      </c>
      <c r="I11" s="15"/>
      <c r="J11" s="27"/>
      <c r="K11" s="27"/>
      <c r="L11" s="27"/>
      <c r="M11" s="27"/>
      <c r="N11" s="27"/>
      <c r="O11" s="27"/>
      <c r="P11" s="27"/>
      <c r="Q11" s="27"/>
      <c r="R11" s="27"/>
      <c r="S11" s="27"/>
      <c r="T11" s="27"/>
      <c r="U11" s="27"/>
      <c r="V11" s="27"/>
      <c r="W11" s="27"/>
      <c r="X11" s="27"/>
      <c r="Y11" s="27"/>
      <c r="Z11" s="27"/>
    </row>
    <row r="12" ht="25" spans="1:26">
      <c r="A12" s="15" t="s">
        <v>805</v>
      </c>
      <c r="B12" s="16" t="s">
        <v>806</v>
      </c>
      <c r="C12" s="15" t="s">
        <v>807</v>
      </c>
      <c r="D12" s="19"/>
      <c r="E12" s="16" t="s">
        <v>808</v>
      </c>
      <c r="F12" s="15" t="s">
        <v>809</v>
      </c>
      <c r="G12" s="15"/>
      <c r="H12" s="18" t="s">
        <v>133</v>
      </c>
      <c r="I12" s="15"/>
      <c r="J12" s="27"/>
      <c r="K12" s="27"/>
      <c r="L12" s="27"/>
      <c r="M12" s="27"/>
      <c r="N12" s="27"/>
      <c r="O12" s="27"/>
      <c r="P12" s="27"/>
      <c r="Q12" s="27"/>
      <c r="R12" s="27"/>
      <c r="S12" s="27"/>
      <c r="T12" s="27"/>
      <c r="U12" s="27"/>
      <c r="V12" s="27"/>
      <c r="W12" s="27"/>
      <c r="X12" s="27"/>
      <c r="Y12" s="27"/>
      <c r="Z12" s="27"/>
    </row>
    <row r="13" ht="12.5" spans="1:26">
      <c r="A13" s="15" t="s">
        <v>810</v>
      </c>
      <c r="B13" s="19"/>
      <c r="C13" s="15" t="s">
        <v>811</v>
      </c>
      <c r="D13" s="19"/>
      <c r="E13" s="19"/>
      <c r="F13" s="16" t="s">
        <v>812</v>
      </c>
      <c r="G13" s="15"/>
      <c r="H13" s="18" t="s">
        <v>133</v>
      </c>
      <c r="I13" s="15"/>
      <c r="J13" s="27"/>
      <c r="K13" s="27"/>
      <c r="L13" s="27"/>
      <c r="M13" s="27"/>
      <c r="N13" s="27"/>
      <c r="O13" s="27"/>
      <c r="P13" s="27"/>
      <c r="Q13" s="27"/>
      <c r="R13" s="27"/>
      <c r="S13" s="27"/>
      <c r="T13" s="27"/>
      <c r="U13" s="27"/>
      <c r="V13" s="27"/>
      <c r="W13" s="27"/>
      <c r="X13" s="27"/>
      <c r="Y13" s="27"/>
      <c r="Z13" s="27"/>
    </row>
    <row r="14" ht="12.5" spans="1:26">
      <c r="A14" s="15" t="s">
        <v>813</v>
      </c>
      <c r="B14" s="19"/>
      <c r="C14" s="15" t="s">
        <v>814</v>
      </c>
      <c r="D14" s="19"/>
      <c r="E14" s="19"/>
      <c r="F14" s="19"/>
      <c r="G14" s="15"/>
      <c r="H14" s="18" t="s">
        <v>133</v>
      </c>
      <c r="I14" s="15"/>
      <c r="J14" s="27"/>
      <c r="K14" s="27"/>
      <c r="L14" s="27"/>
      <c r="M14" s="27"/>
      <c r="N14" s="27"/>
      <c r="O14" s="27"/>
      <c r="P14" s="27"/>
      <c r="Q14" s="27"/>
      <c r="R14" s="27"/>
      <c r="S14" s="27"/>
      <c r="T14" s="27"/>
      <c r="U14" s="27"/>
      <c r="V14" s="27"/>
      <c r="W14" s="27"/>
      <c r="X14" s="27"/>
      <c r="Y14" s="27"/>
      <c r="Z14" s="27"/>
    </row>
    <row r="15" ht="12.5" spans="1:26">
      <c r="A15" s="15" t="s">
        <v>815</v>
      </c>
      <c r="B15" s="19"/>
      <c r="C15" s="15" t="s">
        <v>115</v>
      </c>
      <c r="D15" s="19"/>
      <c r="E15" s="19"/>
      <c r="F15" s="19"/>
      <c r="G15" s="15"/>
      <c r="H15" s="18" t="s">
        <v>133</v>
      </c>
      <c r="I15" s="15"/>
      <c r="J15" s="27"/>
      <c r="K15" s="27"/>
      <c r="L15" s="27"/>
      <c r="M15" s="27"/>
      <c r="N15" s="27"/>
      <c r="O15" s="27"/>
      <c r="P15" s="27"/>
      <c r="Q15" s="27"/>
      <c r="R15" s="27"/>
      <c r="S15" s="27"/>
      <c r="T15" s="27"/>
      <c r="U15" s="27"/>
      <c r="V15" s="27"/>
      <c r="W15" s="27"/>
      <c r="X15" s="27"/>
      <c r="Y15" s="27"/>
      <c r="Z15" s="27"/>
    </row>
    <row r="16" ht="12.5" spans="1:26">
      <c r="A16" s="15" t="s">
        <v>816</v>
      </c>
      <c r="B16" s="19"/>
      <c r="C16" s="15" t="s">
        <v>123</v>
      </c>
      <c r="D16" s="19"/>
      <c r="E16" s="19"/>
      <c r="F16" s="19"/>
      <c r="G16" s="15"/>
      <c r="H16" s="18" t="s">
        <v>133</v>
      </c>
      <c r="I16" s="15"/>
      <c r="J16" s="27"/>
      <c r="K16" s="27"/>
      <c r="L16" s="27"/>
      <c r="M16" s="27"/>
      <c r="N16" s="27"/>
      <c r="O16" s="27"/>
      <c r="P16" s="27"/>
      <c r="Q16" s="27"/>
      <c r="R16" s="27"/>
      <c r="S16" s="27"/>
      <c r="T16" s="27"/>
      <c r="U16" s="27"/>
      <c r="V16" s="27"/>
      <c r="W16" s="27"/>
      <c r="X16" s="27"/>
      <c r="Y16" s="27"/>
      <c r="Z16" s="27"/>
    </row>
    <row r="17" ht="12.5" spans="1:26">
      <c r="A17" s="15" t="s">
        <v>817</v>
      </c>
      <c r="B17" s="19"/>
      <c r="C17" s="15" t="s">
        <v>818</v>
      </c>
      <c r="D17" s="19"/>
      <c r="E17" s="19"/>
      <c r="F17" s="20"/>
      <c r="G17" s="15"/>
      <c r="H17" s="18" t="s">
        <v>133</v>
      </c>
      <c r="I17" s="15"/>
      <c r="J17" s="27"/>
      <c r="K17" s="27"/>
      <c r="L17" s="27"/>
      <c r="M17" s="27"/>
      <c r="N17" s="27"/>
      <c r="O17" s="27"/>
      <c r="P17" s="27"/>
      <c r="Q17" s="27"/>
      <c r="R17" s="27"/>
      <c r="S17" s="27"/>
      <c r="T17" s="27"/>
      <c r="U17" s="27"/>
      <c r="V17" s="27"/>
      <c r="W17" s="27"/>
      <c r="X17" s="27"/>
      <c r="Y17" s="27"/>
      <c r="Z17" s="27"/>
    </row>
    <row r="18" ht="25" spans="1:26">
      <c r="A18" s="15" t="s">
        <v>819</v>
      </c>
      <c r="B18" s="19"/>
      <c r="C18" s="15" t="s">
        <v>820</v>
      </c>
      <c r="D18" s="19"/>
      <c r="E18" s="19"/>
      <c r="F18" s="15" t="s">
        <v>821</v>
      </c>
      <c r="G18" s="15"/>
      <c r="H18" s="18" t="s">
        <v>133</v>
      </c>
      <c r="I18" s="15"/>
      <c r="J18" s="27"/>
      <c r="K18" s="27"/>
      <c r="L18" s="27"/>
      <c r="M18" s="27"/>
      <c r="N18" s="27"/>
      <c r="O18" s="27"/>
      <c r="P18" s="27"/>
      <c r="Q18" s="27"/>
      <c r="R18" s="27"/>
      <c r="S18" s="27"/>
      <c r="T18" s="27"/>
      <c r="U18" s="27"/>
      <c r="V18" s="27"/>
      <c r="W18" s="27"/>
      <c r="X18" s="27"/>
      <c r="Y18" s="27"/>
      <c r="Z18" s="27"/>
    </row>
    <row r="19" ht="37.5" spans="1:26">
      <c r="A19" s="15" t="s">
        <v>822</v>
      </c>
      <c r="B19" s="20"/>
      <c r="C19" s="15" t="s">
        <v>823</v>
      </c>
      <c r="D19" s="20"/>
      <c r="E19" s="20"/>
      <c r="F19" s="15" t="s">
        <v>824</v>
      </c>
      <c r="G19" s="15"/>
      <c r="H19" s="18" t="s">
        <v>133</v>
      </c>
      <c r="I19" s="15"/>
      <c r="J19" s="27"/>
      <c r="K19" s="27"/>
      <c r="L19" s="27"/>
      <c r="M19" s="27"/>
      <c r="N19" s="27"/>
      <c r="O19" s="27"/>
      <c r="P19" s="27"/>
      <c r="Q19" s="27"/>
      <c r="R19" s="27"/>
      <c r="S19" s="27"/>
      <c r="T19" s="27"/>
      <c r="U19" s="27"/>
      <c r="V19" s="27"/>
      <c r="W19" s="27"/>
      <c r="X19" s="27"/>
      <c r="Y19" s="27"/>
      <c r="Z19" s="27"/>
    </row>
    <row r="20" ht="50" spans="1:26">
      <c r="A20" s="15" t="s">
        <v>825</v>
      </c>
      <c r="B20" s="21" t="s">
        <v>826</v>
      </c>
      <c r="C20" s="22"/>
      <c r="D20" s="23" t="s">
        <v>827</v>
      </c>
      <c r="E20" s="23" t="s">
        <v>828</v>
      </c>
      <c r="F20" s="23" t="s">
        <v>829</v>
      </c>
      <c r="G20" s="23" t="s">
        <v>830</v>
      </c>
      <c r="H20" s="18" t="s">
        <v>134</v>
      </c>
      <c r="I20" s="15" t="s">
        <v>831</v>
      </c>
      <c r="J20" s="28"/>
      <c r="K20" s="28"/>
      <c r="L20" s="28"/>
      <c r="M20" s="28"/>
      <c r="N20" s="28"/>
      <c r="O20" s="28"/>
      <c r="P20" s="28"/>
      <c r="Q20" s="28"/>
      <c r="R20" s="28"/>
      <c r="S20" s="28"/>
      <c r="T20" s="28"/>
      <c r="U20" s="28"/>
      <c r="V20" s="28"/>
      <c r="W20" s="28"/>
      <c r="X20" s="28"/>
      <c r="Y20" s="28"/>
      <c r="Z20" s="28"/>
    </row>
    <row r="21" ht="13" spans="1:26">
      <c r="A21" s="13" t="s">
        <v>192</v>
      </c>
      <c r="B21" s="14"/>
      <c r="C21" s="14"/>
      <c r="D21" s="14"/>
      <c r="E21" s="14"/>
      <c r="F21" s="14"/>
      <c r="G21" s="14"/>
      <c r="H21" s="14"/>
      <c r="I21" s="22"/>
      <c r="J21" s="27"/>
      <c r="K21" s="27"/>
      <c r="L21" s="27"/>
      <c r="M21" s="27"/>
      <c r="N21" s="27"/>
      <c r="O21" s="27"/>
      <c r="P21" s="27"/>
      <c r="Q21" s="27"/>
      <c r="R21" s="27"/>
      <c r="S21" s="27"/>
      <c r="T21" s="27"/>
      <c r="U21" s="27"/>
      <c r="V21" s="27"/>
      <c r="W21" s="27"/>
      <c r="X21" s="27"/>
      <c r="Y21" s="27"/>
      <c r="Z21" s="27"/>
    </row>
    <row r="22" ht="50" spans="1:26">
      <c r="A22" s="15" t="s">
        <v>832</v>
      </c>
      <c r="B22" s="16" t="s">
        <v>833</v>
      </c>
      <c r="C22" s="15" t="s">
        <v>89</v>
      </c>
      <c r="D22" s="16" t="s">
        <v>834</v>
      </c>
      <c r="E22" s="15" t="s">
        <v>835</v>
      </c>
      <c r="F22" s="16" t="s">
        <v>836</v>
      </c>
      <c r="G22" s="16" t="s">
        <v>837</v>
      </c>
      <c r="H22" s="18" t="s">
        <v>134</v>
      </c>
      <c r="I22" s="15" t="s">
        <v>838</v>
      </c>
      <c r="J22" s="27"/>
      <c r="K22" s="27"/>
      <c r="L22" s="27"/>
      <c r="M22" s="27"/>
      <c r="N22" s="27"/>
      <c r="O22" s="27"/>
      <c r="P22" s="27"/>
      <c r="Q22" s="27"/>
      <c r="R22" s="27"/>
      <c r="S22" s="27"/>
      <c r="T22" s="27"/>
      <c r="U22" s="27"/>
      <c r="V22" s="27"/>
      <c r="W22" s="27"/>
      <c r="X22" s="27"/>
      <c r="Y22" s="27"/>
      <c r="Z22" s="27"/>
    </row>
    <row r="23" ht="50" spans="1:26">
      <c r="A23" s="15" t="s">
        <v>839</v>
      </c>
      <c r="B23" s="19"/>
      <c r="C23" s="15" t="s">
        <v>840</v>
      </c>
      <c r="D23" s="19"/>
      <c r="E23" s="15" t="s">
        <v>841</v>
      </c>
      <c r="F23" s="19"/>
      <c r="G23" s="19"/>
      <c r="H23" s="18" t="s">
        <v>134</v>
      </c>
      <c r="I23" s="15" t="s">
        <v>838</v>
      </c>
      <c r="J23" s="27"/>
      <c r="K23" s="27"/>
      <c r="L23" s="27"/>
      <c r="M23" s="27"/>
      <c r="N23" s="27"/>
      <c r="O23" s="27"/>
      <c r="P23" s="27"/>
      <c r="Q23" s="27"/>
      <c r="R23" s="27"/>
      <c r="S23" s="27"/>
      <c r="T23" s="27"/>
      <c r="U23" s="27"/>
      <c r="V23" s="27"/>
      <c r="W23" s="27"/>
      <c r="X23" s="27"/>
      <c r="Y23" s="27"/>
      <c r="Z23" s="27"/>
    </row>
    <row r="24" ht="50" spans="1:26">
      <c r="A24" s="15" t="s">
        <v>842</v>
      </c>
      <c r="B24" s="19"/>
      <c r="C24" s="15" t="s">
        <v>843</v>
      </c>
      <c r="D24" s="19"/>
      <c r="E24" s="15" t="s">
        <v>844</v>
      </c>
      <c r="F24" s="19"/>
      <c r="G24" s="19"/>
      <c r="H24" s="18" t="s">
        <v>134</v>
      </c>
      <c r="I24" s="15" t="s">
        <v>838</v>
      </c>
      <c r="J24" s="27"/>
      <c r="K24" s="27"/>
      <c r="L24" s="27"/>
      <c r="M24" s="27"/>
      <c r="N24" s="27"/>
      <c r="O24" s="27"/>
      <c r="P24" s="27"/>
      <c r="Q24" s="27"/>
      <c r="R24" s="27"/>
      <c r="S24" s="27"/>
      <c r="T24" s="27"/>
      <c r="U24" s="27"/>
      <c r="V24" s="27"/>
      <c r="W24" s="27"/>
      <c r="X24" s="27"/>
      <c r="Y24" s="27"/>
      <c r="Z24" s="27"/>
    </row>
    <row r="25" ht="50" spans="1:26">
      <c r="A25" s="15" t="s">
        <v>845</v>
      </c>
      <c r="B25" s="19"/>
      <c r="C25" s="15" t="s">
        <v>846</v>
      </c>
      <c r="D25" s="19"/>
      <c r="E25" s="15" t="s">
        <v>847</v>
      </c>
      <c r="F25" s="19"/>
      <c r="G25" s="19"/>
      <c r="H25" s="18" t="s">
        <v>134</v>
      </c>
      <c r="I25" s="15" t="s">
        <v>838</v>
      </c>
      <c r="J25" s="27"/>
      <c r="K25" s="27"/>
      <c r="L25" s="27"/>
      <c r="M25" s="27"/>
      <c r="N25" s="27"/>
      <c r="O25" s="27"/>
      <c r="P25" s="27"/>
      <c r="Q25" s="27"/>
      <c r="R25" s="27"/>
      <c r="S25" s="27"/>
      <c r="T25" s="27"/>
      <c r="U25" s="27"/>
      <c r="V25" s="27"/>
      <c r="W25" s="27"/>
      <c r="X25" s="27"/>
      <c r="Y25" s="27"/>
      <c r="Z25" s="27"/>
    </row>
    <row r="26" ht="50" spans="1:26">
      <c r="A26" s="15" t="s">
        <v>848</v>
      </c>
      <c r="B26" s="19"/>
      <c r="C26" s="15" t="s">
        <v>849</v>
      </c>
      <c r="D26" s="19"/>
      <c r="E26" s="15" t="s">
        <v>850</v>
      </c>
      <c r="F26" s="19"/>
      <c r="G26" s="19"/>
      <c r="H26" s="18" t="s">
        <v>134</v>
      </c>
      <c r="I26" s="15" t="s">
        <v>838</v>
      </c>
      <c r="J26" s="27"/>
      <c r="K26" s="27"/>
      <c r="L26" s="27"/>
      <c r="M26" s="27"/>
      <c r="N26" s="27"/>
      <c r="O26" s="27"/>
      <c r="P26" s="27"/>
      <c r="Q26" s="27"/>
      <c r="R26" s="27"/>
      <c r="S26" s="27"/>
      <c r="T26" s="27"/>
      <c r="U26" s="27"/>
      <c r="V26" s="27"/>
      <c r="W26" s="27"/>
      <c r="X26" s="27"/>
      <c r="Y26" s="27"/>
      <c r="Z26" s="27"/>
    </row>
    <row r="27" ht="50" spans="1:26">
      <c r="A27" s="15" t="s">
        <v>851</v>
      </c>
      <c r="B27" s="19"/>
      <c r="C27" s="15" t="s">
        <v>852</v>
      </c>
      <c r="D27" s="19"/>
      <c r="E27" s="15" t="s">
        <v>853</v>
      </c>
      <c r="F27" s="19"/>
      <c r="G27" s="19"/>
      <c r="H27" s="18" t="s">
        <v>134</v>
      </c>
      <c r="I27" s="15" t="s">
        <v>838</v>
      </c>
      <c r="J27" s="27"/>
      <c r="K27" s="27"/>
      <c r="L27" s="27"/>
      <c r="M27" s="27"/>
      <c r="N27" s="27"/>
      <c r="O27" s="27"/>
      <c r="P27" s="27"/>
      <c r="Q27" s="27"/>
      <c r="R27" s="27"/>
      <c r="S27" s="27"/>
      <c r="T27" s="27"/>
      <c r="U27" s="27"/>
      <c r="V27" s="27"/>
      <c r="W27" s="27"/>
      <c r="X27" s="27"/>
      <c r="Y27" s="27"/>
      <c r="Z27" s="27"/>
    </row>
    <row r="28" ht="50" spans="1:26">
      <c r="A28" s="15" t="s">
        <v>854</v>
      </c>
      <c r="B28" s="19"/>
      <c r="C28" s="15" t="s">
        <v>855</v>
      </c>
      <c r="D28" s="19"/>
      <c r="E28" s="15" t="s">
        <v>856</v>
      </c>
      <c r="F28" s="19"/>
      <c r="G28" s="19"/>
      <c r="H28" s="18" t="s">
        <v>134</v>
      </c>
      <c r="I28" s="15" t="s">
        <v>838</v>
      </c>
      <c r="J28" s="27"/>
      <c r="K28" s="27"/>
      <c r="L28" s="27"/>
      <c r="M28" s="27"/>
      <c r="N28" s="27"/>
      <c r="O28" s="27"/>
      <c r="P28" s="27"/>
      <c r="Q28" s="27"/>
      <c r="R28" s="27"/>
      <c r="S28" s="27"/>
      <c r="T28" s="27"/>
      <c r="U28" s="27"/>
      <c r="V28" s="27"/>
      <c r="W28" s="27"/>
      <c r="X28" s="27"/>
      <c r="Y28" s="27"/>
      <c r="Z28" s="27"/>
    </row>
    <row r="29" ht="50" spans="1:26">
      <c r="A29" s="15" t="s">
        <v>857</v>
      </c>
      <c r="B29" s="19"/>
      <c r="C29" s="15" t="s">
        <v>858</v>
      </c>
      <c r="D29" s="19"/>
      <c r="E29" s="15" t="s">
        <v>859</v>
      </c>
      <c r="F29" s="19"/>
      <c r="G29" s="19"/>
      <c r="H29" s="18" t="s">
        <v>134</v>
      </c>
      <c r="I29" s="15" t="s">
        <v>838</v>
      </c>
      <c r="J29" s="27"/>
      <c r="K29" s="27"/>
      <c r="L29" s="27"/>
      <c r="M29" s="27"/>
      <c r="N29" s="27"/>
      <c r="O29" s="27"/>
      <c r="P29" s="27"/>
      <c r="Q29" s="27"/>
      <c r="R29" s="27"/>
      <c r="S29" s="27"/>
      <c r="T29" s="27"/>
      <c r="U29" s="27"/>
      <c r="V29" s="27"/>
      <c r="W29" s="27"/>
      <c r="X29" s="27"/>
      <c r="Y29" s="27"/>
      <c r="Z29" s="27"/>
    </row>
    <row r="30" ht="50" spans="1:26">
      <c r="A30" s="15" t="s">
        <v>860</v>
      </c>
      <c r="B30" s="19"/>
      <c r="C30" s="15" t="s">
        <v>861</v>
      </c>
      <c r="D30" s="19"/>
      <c r="E30" s="15" t="s">
        <v>862</v>
      </c>
      <c r="F30" s="19"/>
      <c r="G30" s="19"/>
      <c r="H30" s="18" t="s">
        <v>134</v>
      </c>
      <c r="I30" s="15" t="s">
        <v>838</v>
      </c>
      <c r="J30" s="27"/>
      <c r="K30" s="27"/>
      <c r="L30" s="27"/>
      <c r="M30" s="27"/>
      <c r="N30" s="27"/>
      <c r="O30" s="27"/>
      <c r="P30" s="27"/>
      <c r="Q30" s="27"/>
      <c r="R30" s="27"/>
      <c r="S30" s="27"/>
      <c r="T30" s="27"/>
      <c r="U30" s="27"/>
      <c r="V30" s="27"/>
      <c r="W30" s="27"/>
      <c r="X30" s="27"/>
      <c r="Y30" s="27"/>
      <c r="Z30" s="27"/>
    </row>
    <row r="31" ht="50" spans="1:26">
      <c r="A31" s="15" t="s">
        <v>863</v>
      </c>
      <c r="B31" s="19"/>
      <c r="C31" s="15" t="s">
        <v>864</v>
      </c>
      <c r="D31" s="19"/>
      <c r="E31" s="15" t="s">
        <v>865</v>
      </c>
      <c r="F31" s="19"/>
      <c r="G31" s="19"/>
      <c r="H31" s="18" t="s">
        <v>134</v>
      </c>
      <c r="I31" s="15" t="s">
        <v>838</v>
      </c>
      <c r="J31" s="27"/>
      <c r="K31" s="27"/>
      <c r="L31" s="27"/>
      <c r="M31" s="27"/>
      <c r="N31" s="27"/>
      <c r="O31" s="27"/>
      <c r="P31" s="27"/>
      <c r="Q31" s="27"/>
      <c r="R31" s="27"/>
      <c r="S31" s="27"/>
      <c r="T31" s="27"/>
      <c r="U31" s="27"/>
      <c r="V31" s="27"/>
      <c r="W31" s="27"/>
      <c r="X31" s="27"/>
      <c r="Y31" s="27"/>
      <c r="Z31" s="27"/>
    </row>
    <row r="32" ht="62.5" spans="1:26">
      <c r="A32" s="15" t="s">
        <v>866</v>
      </c>
      <c r="B32" s="20"/>
      <c r="C32" s="15" t="s">
        <v>867</v>
      </c>
      <c r="D32" s="20"/>
      <c r="E32" s="15" t="s">
        <v>868</v>
      </c>
      <c r="F32" s="20"/>
      <c r="G32" s="20"/>
      <c r="H32" s="18" t="s">
        <v>134</v>
      </c>
      <c r="I32" s="15" t="s">
        <v>838</v>
      </c>
      <c r="J32" s="27"/>
      <c r="K32" s="27"/>
      <c r="L32" s="27"/>
      <c r="M32" s="27"/>
      <c r="N32" s="27"/>
      <c r="O32" s="27"/>
      <c r="P32" s="27"/>
      <c r="Q32" s="27"/>
      <c r="R32" s="27"/>
      <c r="S32" s="27"/>
      <c r="T32" s="27"/>
      <c r="U32" s="27"/>
      <c r="V32" s="27"/>
      <c r="W32" s="27"/>
      <c r="X32" s="27"/>
      <c r="Y32" s="27"/>
      <c r="Z32" s="27"/>
    </row>
    <row r="33" ht="87.5" spans="1:26">
      <c r="A33" s="15" t="s">
        <v>869</v>
      </c>
      <c r="B33" s="24" t="s">
        <v>870</v>
      </c>
      <c r="C33" s="22"/>
      <c r="D33" s="15" t="s">
        <v>871</v>
      </c>
      <c r="E33" s="15" t="s">
        <v>872</v>
      </c>
      <c r="F33" s="15" t="s">
        <v>873</v>
      </c>
      <c r="G33" s="15"/>
      <c r="H33" s="18" t="s">
        <v>133</v>
      </c>
      <c r="I33" s="15"/>
      <c r="J33" s="27"/>
      <c r="K33" s="27"/>
      <c r="L33" s="27"/>
      <c r="M33" s="27"/>
      <c r="N33" s="27"/>
      <c r="O33" s="27"/>
      <c r="P33" s="27"/>
      <c r="Q33" s="27"/>
      <c r="R33" s="27"/>
      <c r="S33" s="27"/>
      <c r="T33" s="27"/>
      <c r="U33" s="27"/>
      <c r="V33" s="27"/>
      <c r="W33" s="27"/>
      <c r="X33" s="27"/>
      <c r="Y33" s="27"/>
      <c r="Z33" s="27"/>
    </row>
    <row r="34" ht="25" spans="1:26">
      <c r="A34" s="15" t="s">
        <v>874</v>
      </c>
      <c r="B34" s="24" t="s">
        <v>875</v>
      </c>
      <c r="C34" s="22"/>
      <c r="D34" s="15" t="s">
        <v>876</v>
      </c>
      <c r="E34" s="15" t="s">
        <v>877</v>
      </c>
      <c r="F34" s="15" t="s">
        <v>878</v>
      </c>
      <c r="G34" s="15" t="s">
        <v>879</v>
      </c>
      <c r="H34" s="18" t="s">
        <v>134</v>
      </c>
      <c r="I34" s="15" t="s">
        <v>880</v>
      </c>
      <c r="J34" s="27"/>
      <c r="K34" s="27"/>
      <c r="L34" s="27"/>
      <c r="M34" s="27"/>
      <c r="N34" s="27"/>
      <c r="O34" s="27"/>
      <c r="P34" s="27"/>
      <c r="Q34" s="27"/>
      <c r="R34" s="27"/>
      <c r="S34" s="27"/>
      <c r="T34" s="27"/>
      <c r="U34" s="27"/>
      <c r="V34" s="27"/>
      <c r="W34" s="27"/>
      <c r="X34" s="27"/>
      <c r="Y34" s="27"/>
      <c r="Z34" s="27"/>
    </row>
    <row r="35" ht="50" spans="1:26">
      <c r="A35" s="15" t="s">
        <v>881</v>
      </c>
      <c r="B35" s="24" t="s">
        <v>882</v>
      </c>
      <c r="C35" s="22"/>
      <c r="D35" s="23" t="s">
        <v>827</v>
      </c>
      <c r="E35" s="15" t="s">
        <v>883</v>
      </c>
      <c r="F35" s="15" t="s">
        <v>884</v>
      </c>
      <c r="G35" s="15"/>
      <c r="H35" s="18" t="s">
        <v>133</v>
      </c>
      <c r="I35" s="15"/>
      <c r="J35" s="27"/>
      <c r="K35" s="27"/>
      <c r="L35" s="27"/>
      <c r="M35" s="27"/>
      <c r="N35" s="27"/>
      <c r="O35" s="27"/>
      <c r="P35" s="27"/>
      <c r="Q35" s="27"/>
      <c r="R35" s="27"/>
      <c r="S35" s="27"/>
      <c r="T35" s="27"/>
      <c r="U35" s="27"/>
      <c r="V35" s="27"/>
      <c r="W35" s="27"/>
      <c r="X35" s="27"/>
      <c r="Y35" s="27"/>
      <c r="Z35" s="27"/>
    </row>
    <row r="36" ht="37.5" spans="1:26">
      <c r="A36" s="15" t="s">
        <v>885</v>
      </c>
      <c r="B36" s="24" t="s">
        <v>886</v>
      </c>
      <c r="C36" s="22"/>
      <c r="D36" s="15" t="s">
        <v>887</v>
      </c>
      <c r="E36" s="15" t="s">
        <v>883</v>
      </c>
      <c r="F36" s="15" t="s">
        <v>888</v>
      </c>
      <c r="G36" s="15"/>
      <c r="H36" s="18" t="s">
        <v>133</v>
      </c>
      <c r="I36" s="15"/>
      <c r="J36" s="27"/>
      <c r="K36" s="27"/>
      <c r="L36" s="27"/>
      <c r="M36" s="27"/>
      <c r="N36" s="27"/>
      <c r="O36" s="27"/>
      <c r="P36" s="27"/>
      <c r="Q36" s="27"/>
      <c r="R36" s="27"/>
      <c r="S36" s="27"/>
      <c r="T36" s="27"/>
      <c r="U36" s="27"/>
      <c r="V36" s="27"/>
      <c r="W36" s="27"/>
      <c r="X36" s="27"/>
      <c r="Y36" s="27"/>
      <c r="Z36" s="27"/>
    </row>
    <row r="37" ht="75" spans="1:26">
      <c r="A37" s="15" t="s">
        <v>889</v>
      </c>
      <c r="B37" s="16" t="s">
        <v>890</v>
      </c>
      <c r="C37" s="15" t="s">
        <v>503</v>
      </c>
      <c r="D37" s="16" t="s">
        <v>876</v>
      </c>
      <c r="E37" s="15" t="s">
        <v>891</v>
      </c>
      <c r="F37" s="15" t="s">
        <v>892</v>
      </c>
      <c r="G37" s="15"/>
      <c r="H37" s="18" t="s">
        <v>133</v>
      </c>
      <c r="I37" s="15"/>
      <c r="J37" s="27"/>
      <c r="K37" s="27"/>
      <c r="L37" s="27"/>
      <c r="M37" s="27"/>
      <c r="N37" s="27"/>
      <c r="O37" s="27"/>
      <c r="P37" s="27"/>
      <c r="Q37" s="27"/>
      <c r="R37" s="27"/>
      <c r="S37" s="27"/>
      <c r="T37" s="27"/>
      <c r="U37" s="27"/>
      <c r="V37" s="27"/>
      <c r="W37" s="27"/>
      <c r="X37" s="27"/>
      <c r="Y37" s="27"/>
      <c r="Z37" s="27"/>
    </row>
    <row r="38" ht="50" spans="1:26">
      <c r="A38" s="15" t="s">
        <v>893</v>
      </c>
      <c r="B38" s="19"/>
      <c r="C38" s="15" t="s">
        <v>89</v>
      </c>
      <c r="D38" s="19"/>
      <c r="E38" s="15" t="s">
        <v>894</v>
      </c>
      <c r="F38" s="15" t="s">
        <v>895</v>
      </c>
      <c r="G38" s="15"/>
      <c r="H38" s="18" t="s">
        <v>133</v>
      </c>
      <c r="I38" s="15"/>
      <c r="J38" s="27"/>
      <c r="K38" s="27"/>
      <c r="L38" s="27"/>
      <c r="M38" s="27"/>
      <c r="N38" s="27"/>
      <c r="O38" s="27"/>
      <c r="P38" s="27"/>
      <c r="Q38" s="27"/>
      <c r="R38" s="27"/>
      <c r="S38" s="27"/>
      <c r="T38" s="27"/>
      <c r="U38" s="27"/>
      <c r="V38" s="27"/>
      <c r="W38" s="27"/>
      <c r="X38" s="27"/>
      <c r="Y38" s="27"/>
      <c r="Z38" s="27"/>
    </row>
    <row r="39" ht="50" spans="1:26">
      <c r="A39" s="15" t="s">
        <v>896</v>
      </c>
      <c r="B39" s="19"/>
      <c r="C39" s="15" t="s">
        <v>90</v>
      </c>
      <c r="D39" s="19"/>
      <c r="E39" s="15" t="s">
        <v>897</v>
      </c>
      <c r="F39" s="15" t="s">
        <v>898</v>
      </c>
      <c r="G39" s="15"/>
      <c r="H39" s="18" t="s">
        <v>133</v>
      </c>
      <c r="I39" s="15"/>
      <c r="J39" s="27"/>
      <c r="K39" s="27"/>
      <c r="L39" s="27"/>
      <c r="M39" s="27"/>
      <c r="N39" s="27"/>
      <c r="O39" s="27"/>
      <c r="P39" s="27"/>
      <c r="Q39" s="27"/>
      <c r="R39" s="27"/>
      <c r="S39" s="27"/>
      <c r="T39" s="27"/>
      <c r="U39" s="27"/>
      <c r="V39" s="27"/>
      <c r="W39" s="27"/>
      <c r="X39" s="27"/>
      <c r="Y39" s="27"/>
      <c r="Z39" s="27"/>
    </row>
    <row r="40" ht="37.5" spans="1:26">
      <c r="A40" s="15" t="s">
        <v>899</v>
      </c>
      <c r="B40" s="20"/>
      <c r="C40" s="15" t="s">
        <v>96</v>
      </c>
      <c r="D40" s="20"/>
      <c r="E40" s="15" t="s">
        <v>900</v>
      </c>
      <c r="F40" s="15" t="s">
        <v>901</v>
      </c>
      <c r="G40" s="15"/>
      <c r="H40" s="18" t="s">
        <v>133</v>
      </c>
      <c r="I40" s="15"/>
      <c r="J40" s="27"/>
      <c r="K40" s="27"/>
      <c r="L40" s="27"/>
      <c r="M40" s="27"/>
      <c r="N40" s="27"/>
      <c r="O40" s="27"/>
      <c r="P40" s="27"/>
      <c r="Q40" s="27"/>
      <c r="R40" s="27"/>
      <c r="S40" s="27"/>
      <c r="T40" s="27"/>
      <c r="U40" s="27"/>
      <c r="V40" s="27"/>
      <c r="W40" s="27"/>
      <c r="X40" s="27"/>
      <c r="Y40" s="27"/>
      <c r="Z40" s="27"/>
    </row>
    <row r="41" ht="50" spans="1:26">
      <c r="A41" s="15" t="s">
        <v>902</v>
      </c>
      <c r="B41" s="16" t="s">
        <v>903</v>
      </c>
      <c r="C41" s="15" t="s">
        <v>904</v>
      </c>
      <c r="D41" s="15" t="s">
        <v>876</v>
      </c>
      <c r="E41" s="15" t="s">
        <v>905</v>
      </c>
      <c r="F41" s="15" t="s">
        <v>906</v>
      </c>
      <c r="G41" s="15"/>
      <c r="H41" s="18" t="s">
        <v>133</v>
      </c>
      <c r="I41" s="15"/>
      <c r="J41" s="27"/>
      <c r="K41" s="27"/>
      <c r="L41" s="27"/>
      <c r="M41" s="27"/>
      <c r="N41" s="27"/>
      <c r="O41" s="27"/>
      <c r="P41" s="27"/>
      <c r="Q41" s="27"/>
      <c r="R41" s="27"/>
      <c r="S41" s="27"/>
      <c r="T41" s="27"/>
      <c r="U41" s="27"/>
      <c r="V41" s="27"/>
      <c r="W41" s="27"/>
      <c r="X41" s="27"/>
      <c r="Y41" s="27"/>
      <c r="Z41" s="27"/>
    </row>
    <row r="42" ht="87.5" spans="1:26">
      <c r="A42" s="15" t="s">
        <v>907</v>
      </c>
      <c r="B42" s="19"/>
      <c r="C42" s="15" t="s">
        <v>908</v>
      </c>
      <c r="D42" s="15" t="s">
        <v>909</v>
      </c>
      <c r="E42" s="15" t="s">
        <v>910</v>
      </c>
      <c r="F42" s="15" t="s">
        <v>911</v>
      </c>
      <c r="G42" s="15"/>
      <c r="H42" s="18" t="s">
        <v>133</v>
      </c>
      <c r="I42" s="15"/>
      <c r="J42" s="27"/>
      <c r="K42" s="27"/>
      <c r="L42" s="27"/>
      <c r="M42" s="27"/>
      <c r="N42" s="27"/>
      <c r="O42" s="27"/>
      <c r="P42" s="27"/>
      <c r="Q42" s="27"/>
      <c r="R42" s="27"/>
      <c r="S42" s="27"/>
      <c r="T42" s="27"/>
      <c r="U42" s="27"/>
      <c r="V42" s="27"/>
      <c r="W42" s="27"/>
      <c r="X42" s="27"/>
      <c r="Y42" s="27"/>
      <c r="Z42" s="27"/>
    </row>
    <row r="43" ht="87.5" spans="1:26">
      <c r="A43" s="15" t="s">
        <v>912</v>
      </c>
      <c r="B43" s="19"/>
      <c r="C43" s="15" t="s">
        <v>913</v>
      </c>
      <c r="D43" s="15" t="s">
        <v>914</v>
      </c>
      <c r="E43" s="15" t="s">
        <v>915</v>
      </c>
      <c r="F43" s="15" t="s">
        <v>916</v>
      </c>
      <c r="G43" s="15" t="s">
        <v>917</v>
      </c>
      <c r="H43" s="18" t="s">
        <v>134</v>
      </c>
      <c r="I43" s="15" t="s">
        <v>918</v>
      </c>
      <c r="J43" s="27"/>
      <c r="K43" s="27"/>
      <c r="L43" s="27"/>
      <c r="M43" s="27"/>
      <c r="N43" s="27"/>
      <c r="O43" s="27"/>
      <c r="P43" s="27"/>
      <c r="Q43" s="27"/>
      <c r="R43" s="27"/>
      <c r="S43" s="27"/>
      <c r="T43" s="27"/>
      <c r="U43" s="27"/>
      <c r="V43" s="27"/>
      <c r="W43" s="27"/>
      <c r="X43" s="27"/>
      <c r="Y43" s="27"/>
      <c r="Z43" s="27"/>
    </row>
    <row r="44" ht="87.5" spans="1:26">
      <c r="A44" s="15" t="s">
        <v>919</v>
      </c>
      <c r="B44" s="19"/>
      <c r="C44" s="15" t="s">
        <v>920</v>
      </c>
      <c r="D44" s="15" t="s">
        <v>921</v>
      </c>
      <c r="E44" s="15" t="s">
        <v>922</v>
      </c>
      <c r="F44" s="15" t="s">
        <v>916</v>
      </c>
      <c r="G44" s="15" t="s">
        <v>917</v>
      </c>
      <c r="H44" s="18" t="s">
        <v>134</v>
      </c>
      <c r="I44" s="15" t="s">
        <v>923</v>
      </c>
      <c r="J44" s="27"/>
      <c r="K44" s="27"/>
      <c r="L44" s="27"/>
      <c r="M44" s="27"/>
      <c r="N44" s="27"/>
      <c r="O44" s="27"/>
      <c r="P44" s="27"/>
      <c r="Q44" s="27"/>
      <c r="R44" s="27"/>
      <c r="S44" s="27"/>
      <c r="T44" s="27"/>
      <c r="U44" s="27"/>
      <c r="V44" s="27"/>
      <c r="W44" s="27"/>
      <c r="X44" s="27"/>
      <c r="Y44" s="27"/>
      <c r="Z44" s="27"/>
    </row>
    <row r="45" ht="87.5" spans="1:26">
      <c r="A45" s="15" t="s">
        <v>924</v>
      </c>
      <c r="B45" s="20"/>
      <c r="C45" s="15" t="s">
        <v>925</v>
      </c>
      <c r="D45" s="23" t="s">
        <v>926</v>
      </c>
      <c r="E45" s="23" t="s">
        <v>927</v>
      </c>
      <c r="F45" s="23" t="s">
        <v>928</v>
      </c>
      <c r="G45" s="15" t="s">
        <v>917</v>
      </c>
      <c r="H45" s="18" t="s">
        <v>134</v>
      </c>
      <c r="I45" s="15" t="s">
        <v>929</v>
      </c>
      <c r="J45" s="27"/>
      <c r="K45" s="27"/>
      <c r="L45" s="27"/>
      <c r="M45" s="27"/>
      <c r="N45" s="27"/>
      <c r="O45" s="27"/>
      <c r="P45" s="27"/>
      <c r="Q45" s="27"/>
      <c r="R45" s="27"/>
      <c r="S45" s="27"/>
      <c r="T45" s="27"/>
      <c r="U45" s="27"/>
      <c r="V45" s="27"/>
      <c r="W45" s="27"/>
      <c r="X45" s="27"/>
      <c r="Y45" s="27"/>
      <c r="Z45" s="27"/>
    </row>
    <row r="46" ht="50" spans="1:26">
      <c r="A46" s="15" t="s">
        <v>930</v>
      </c>
      <c r="B46" s="16" t="s">
        <v>931</v>
      </c>
      <c r="C46" s="15" t="s">
        <v>932</v>
      </c>
      <c r="D46" s="15" t="s">
        <v>876</v>
      </c>
      <c r="E46" s="15" t="s">
        <v>933</v>
      </c>
      <c r="F46" s="15" t="s">
        <v>906</v>
      </c>
      <c r="G46" s="15"/>
      <c r="H46" s="18" t="s">
        <v>133</v>
      </c>
      <c r="I46" s="15"/>
      <c r="J46" s="27"/>
      <c r="K46" s="27"/>
      <c r="L46" s="27"/>
      <c r="M46" s="27"/>
      <c r="N46" s="27"/>
      <c r="O46" s="27"/>
      <c r="P46" s="27"/>
      <c r="Q46" s="27"/>
      <c r="R46" s="27"/>
      <c r="S46" s="27"/>
      <c r="T46" s="27"/>
      <c r="U46" s="27"/>
      <c r="V46" s="27"/>
      <c r="W46" s="27"/>
      <c r="X46" s="27"/>
      <c r="Y46" s="27"/>
      <c r="Z46" s="27"/>
    </row>
    <row r="47" ht="87.5" spans="1:26">
      <c r="A47" s="15" t="s">
        <v>934</v>
      </c>
      <c r="B47" s="19"/>
      <c r="C47" s="15" t="s">
        <v>935</v>
      </c>
      <c r="D47" s="15" t="s">
        <v>936</v>
      </c>
      <c r="E47" s="15" t="s">
        <v>937</v>
      </c>
      <c r="F47" s="15" t="s">
        <v>911</v>
      </c>
      <c r="G47" s="15"/>
      <c r="H47" s="18" t="s">
        <v>133</v>
      </c>
      <c r="I47" s="15"/>
      <c r="J47" s="27"/>
      <c r="K47" s="27"/>
      <c r="L47" s="27"/>
      <c r="M47" s="27"/>
      <c r="N47" s="27"/>
      <c r="O47" s="27"/>
      <c r="P47" s="27"/>
      <c r="Q47" s="27"/>
      <c r="R47" s="27"/>
      <c r="S47" s="27"/>
      <c r="T47" s="27"/>
      <c r="U47" s="27"/>
      <c r="V47" s="27"/>
      <c r="W47" s="27"/>
      <c r="X47" s="27"/>
      <c r="Y47" s="27"/>
      <c r="Z47" s="27"/>
    </row>
    <row r="48" ht="87.5" spans="1:26">
      <c r="A48" s="15" t="s">
        <v>938</v>
      </c>
      <c r="B48" s="19"/>
      <c r="C48" s="15" t="s">
        <v>939</v>
      </c>
      <c r="D48" s="15" t="s">
        <v>914</v>
      </c>
      <c r="E48" s="15" t="s">
        <v>940</v>
      </c>
      <c r="F48" s="15" t="s">
        <v>916</v>
      </c>
      <c r="G48" s="15" t="s">
        <v>917</v>
      </c>
      <c r="H48" s="18" t="s">
        <v>134</v>
      </c>
      <c r="I48" s="15" t="s">
        <v>941</v>
      </c>
      <c r="J48" s="27"/>
      <c r="K48" s="27"/>
      <c r="L48" s="27"/>
      <c r="M48" s="27"/>
      <c r="N48" s="27"/>
      <c r="O48" s="27"/>
      <c r="P48" s="27"/>
      <c r="Q48" s="27"/>
      <c r="R48" s="27"/>
      <c r="S48" s="27"/>
      <c r="T48" s="27"/>
      <c r="U48" s="27"/>
      <c r="V48" s="27"/>
      <c r="W48" s="27"/>
      <c r="X48" s="27"/>
      <c r="Y48" s="27"/>
      <c r="Z48" s="27"/>
    </row>
    <row r="49" ht="87.5" spans="1:26">
      <c r="A49" s="15" t="s">
        <v>942</v>
      </c>
      <c r="B49" s="19"/>
      <c r="C49" s="15" t="s">
        <v>943</v>
      </c>
      <c r="D49" s="15" t="s">
        <v>944</v>
      </c>
      <c r="E49" s="15" t="s">
        <v>859</v>
      </c>
      <c r="F49" s="15" t="s">
        <v>916</v>
      </c>
      <c r="G49" s="15" t="s">
        <v>917</v>
      </c>
      <c r="H49" s="18" t="s">
        <v>134</v>
      </c>
      <c r="I49" s="15" t="s">
        <v>945</v>
      </c>
      <c r="J49" s="27"/>
      <c r="K49" s="27"/>
      <c r="L49" s="27"/>
      <c r="M49" s="27"/>
      <c r="N49" s="27"/>
      <c r="O49" s="27"/>
      <c r="P49" s="27"/>
      <c r="Q49" s="27"/>
      <c r="R49" s="27"/>
      <c r="S49" s="27"/>
      <c r="T49" s="27"/>
      <c r="U49" s="27"/>
      <c r="V49" s="27"/>
      <c r="W49" s="27"/>
      <c r="X49" s="27"/>
      <c r="Y49" s="27"/>
      <c r="Z49" s="27"/>
    </row>
    <row r="50" ht="87.5" spans="1:26">
      <c r="A50" s="15" t="s">
        <v>946</v>
      </c>
      <c r="B50" s="19"/>
      <c r="C50" s="15" t="s">
        <v>947</v>
      </c>
      <c r="D50" s="15" t="s">
        <v>948</v>
      </c>
      <c r="E50" s="15" t="s">
        <v>949</v>
      </c>
      <c r="F50" s="15" t="s">
        <v>916</v>
      </c>
      <c r="G50" s="15" t="s">
        <v>917</v>
      </c>
      <c r="H50" s="18" t="s">
        <v>134</v>
      </c>
      <c r="I50" s="15" t="s">
        <v>950</v>
      </c>
      <c r="J50" s="27"/>
      <c r="K50" s="27"/>
      <c r="L50" s="27"/>
      <c r="M50" s="27"/>
      <c r="N50" s="27"/>
      <c r="O50" s="27"/>
      <c r="P50" s="27"/>
      <c r="Q50" s="27"/>
      <c r="R50" s="27"/>
      <c r="S50" s="27"/>
      <c r="T50" s="27"/>
      <c r="U50" s="27"/>
      <c r="V50" s="27"/>
      <c r="W50" s="27"/>
      <c r="X50" s="27"/>
      <c r="Y50" s="27"/>
      <c r="Z50" s="27"/>
    </row>
    <row r="51" ht="87.5" spans="1:26">
      <c r="A51" s="15" t="s">
        <v>951</v>
      </c>
      <c r="B51" s="20"/>
      <c r="C51" s="15" t="s">
        <v>952</v>
      </c>
      <c r="D51" s="15" t="s">
        <v>926</v>
      </c>
      <c r="E51" s="15" t="s">
        <v>953</v>
      </c>
      <c r="F51" s="15" t="s">
        <v>928</v>
      </c>
      <c r="G51" s="15" t="s">
        <v>917</v>
      </c>
      <c r="H51" s="18" t="s">
        <v>134</v>
      </c>
      <c r="I51" s="15" t="s">
        <v>954</v>
      </c>
      <c r="J51" s="27"/>
      <c r="K51" s="27"/>
      <c r="L51" s="27"/>
      <c r="M51" s="27"/>
      <c r="N51" s="27"/>
      <c r="O51" s="27"/>
      <c r="P51" s="27"/>
      <c r="Q51" s="27"/>
      <c r="R51" s="27"/>
      <c r="S51" s="27"/>
      <c r="T51" s="27"/>
      <c r="U51" s="27"/>
      <c r="V51" s="27"/>
      <c r="W51" s="27"/>
      <c r="X51" s="27"/>
      <c r="Y51" s="27"/>
      <c r="Z51" s="27"/>
    </row>
    <row r="52" ht="75" spans="1:26">
      <c r="A52" s="15" t="s">
        <v>955</v>
      </c>
      <c r="B52" s="16" t="s">
        <v>956</v>
      </c>
      <c r="C52" s="15" t="s">
        <v>90</v>
      </c>
      <c r="D52" s="16" t="s">
        <v>957</v>
      </c>
      <c r="E52" s="15" t="s">
        <v>958</v>
      </c>
      <c r="F52" s="15" t="s">
        <v>959</v>
      </c>
      <c r="G52" s="15"/>
      <c r="H52" s="18" t="s">
        <v>133</v>
      </c>
      <c r="I52" s="15"/>
      <c r="J52" s="27"/>
      <c r="K52" s="27"/>
      <c r="L52" s="27"/>
      <c r="M52" s="27"/>
      <c r="N52" s="27"/>
      <c r="O52" s="27"/>
      <c r="P52" s="27"/>
      <c r="Q52" s="27"/>
      <c r="R52" s="27"/>
      <c r="S52" s="27"/>
      <c r="T52" s="27"/>
      <c r="U52" s="27"/>
      <c r="V52" s="27"/>
      <c r="W52" s="27"/>
      <c r="X52" s="27"/>
      <c r="Y52" s="27"/>
      <c r="Z52" s="27"/>
    </row>
    <row r="53" ht="75" spans="1:26">
      <c r="A53" s="15" t="s">
        <v>960</v>
      </c>
      <c r="B53" s="20"/>
      <c r="C53" s="15" t="s">
        <v>96</v>
      </c>
      <c r="D53" s="20"/>
      <c r="E53" s="15" t="s">
        <v>961</v>
      </c>
      <c r="F53" s="15" t="s">
        <v>962</v>
      </c>
      <c r="G53" s="15"/>
      <c r="H53" s="18" t="s">
        <v>133</v>
      </c>
      <c r="I53" s="15"/>
      <c r="J53" s="27"/>
      <c r="K53" s="27"/>
      <c r="L53" s="27"/>
      <c r="M53" s="27"/>
      <c r="N53" s="27"/>
      <c r="O53" s="27"/>
      <c r="P53" s="27"/>
      <c r="Q53" s="27"/>
      <c r="R53" s="27"/>
      <c r="S53" s="27"/>
      <c r="T53" s="27"/>
      <c r="U53" s="27"/>
      <c r="V53" s="27"/>
      <c r="W53" s="27"/>
      <c r="X53" s="27"/>
      <c r="Y53" s="27"/>
      <c r="Z53" s="27"/>
    </row>
    <row r="54" ht="75" spans="1:26">
      <c r="A54" s="15" t="s">
        <v>963</v>
      </c>
      <c r="B54" s="16" t="s">
        <v>964</v>
      </c>
      <c r="C54" s="15" t="s">
        <v>101</v>
      </c>
      <c r="D54" s="16" t="s">
        <v>965</v>
      </c>
      <c r="E54" s="15" t="s">
        <v>966</v>
      </c>
      <c r="F54" s="15" t="s">
        <v>967</v>
      </c>
      <c r="G54" s="15"/>
      <c r="H54" s="18" t="s">
        <v>133</v>
      </c>
      <c r="I54" s="15"/>
      <c r="J54" s="27"/>
      <c r="K54" s="27"/>
      <c r="L54" s="27"/>
      <c r="M54" s="27"/>
      <c r="N54" s="27"/>
      <c r="O54" s="27"/>
      <c r="P54" s="27"/>
      <c r="Q54" s="27"/>
      <c r="R54" s="27"/>
      <c r="S54" s="27"/>
      <c r="T54" s="27"/>
      <c r="U54" s="27"/>
      <c r="V54" s="27"/>
      <c r="W54" s="27"/>
      <c r="X54" s="27"/>
      <c r="Y54" s="27"/>
      <c r="Z54" s="27"/>
    </row>
    <row r="55" ht="62.5" spans="1:26">
      <c r="A55" s="15" t="s">
        <v>968</v>
      </c>
      <c r="B55" s="19"/>
      <c r="C55" s="15" t="s">
        <v>104</v>
      </c>
      <c r="D55" s="19"/>
      <c r="E55" s="15" t="s">
        <v>969</v>
      </c>
      <c r="F55" s="15" t="s">
        <v>970</v>
      </c>
      <c r="G55" s="15"/>
      <c r="H55" s="18" t="s">
        <v>133</v>
      </c>
      <c r="I55" s="15"/>
      <c r="J55" s="27"/>
      <c r="K55" s="27"/>
      <c r="L55" s="27"/>
      <c r="M55" s="27"/>
      <c r="N55" s="27"/>
      <c r="O55" s="27"/>
      <c r="P55" s="27"/>
      <c r="Q55" s="27"/>
      <c r="R55" s="27"/>
      <c r="S55" s="27"/>
      <c r="T55" s="27"/>
      <c r="U55" s="27"/>
      <c r="V55" s="27"/>
      <c r="W55" s="27"/>
      <c r="X55" s="27"/>
      <c r="Y55" s="27"/>
      <c r="Z55" s="27"/>
    </row>
    <row r="56" ht="75" spans="1:26">
      <c r="A56" s="15" t="s">
        <v>971</v>
      </c>
      <c r="B56" s="19"/>
      <c r="C56" s="15" t="s">
        <v>107</v>
      </c>
      <c r="D56" s="19"/>
      <c r="E56" s="15" t="s">
        <v>972</v>
      </c>
      <c r="F56" s="15" t="s">
        <v>973</v>
      </c>
      <c r="G56" s="15"/>
      <c r="H56" s="18" t="s">
        <v>133</v>
      </c>
      <c r="I56" s="15"/>
      <c r="J56" s="27"/>
      <c r="K56" s="27"/>
      <c r="L56" s="27"/>
      <c r="M56" s="27"/>
      <c r="N56" s="27"/>
      <c r="O56" s="27"/>
      <c r="P56" s="27"/>
      <c r="Q56" s="27"/>
      <c r="R56" s="27"/>
      <c r="S56" s="27"/>
      <c r="T56" s="27"/>
      <c r="U56" s="27"/>
      <c r="V56" s="27"/>
      <c r="W56" s="27"/>
      <c r="X56" s="27"/>
      <c r="Y56" s="27"/>
      <c r="Z56" s="27"/>
    </row>
    <row r="57" ht="75" spans="1:26">
      <c r="A57" s="15" t="s">
        <v>974</v>
      </c>
      <c r="B57" s="20"/>
      <c r="C57" s="15" t="s">
        <v>110</v>
      </c>
      <c r="D57" s="20"/>
      <c r="E57" s="15" t="s">
        <v>975</v>
      </c>
      <c r="F57" s="15" t="s">
        <v>976</v>
      </c>
      <c r="G57" s="15"/>
      <c r="H57" s="18" t="s">
        <v>133</v>
      </c>
      <c r="I57" s="15"/>
      <c r="J57" s="27"/>
      <c r="K57" s="27"/>
      <c r="L57" s="27"/>
      <c r="M57" s="27"/>
      <c r="N57" s="27"/>
      <c r="O57" s="27"/>
      <c r="P57" s="27"/>
      <c r="Q57" s="27"/>
      <c r="R57" s="27"/>
      <c r="S57" s="27"/>
      <c r="T57" s="27"/>
      <c r="U57" s="27"/>
      <c r="V57" s="27"/>
      <c r="W57" s="27"/>
      <c r="X57" s="27"/>
      <c r="Y57" s="27"/>
      <c r="Z57" s="27"/>
    </row>
    <row r="58" ht="75" spans="1:26">
      <c r="A58" s="15" t="s">
        <v>977</v>
      </c>
      <c r="B58" s="16" t="s">
        <v>978</v>
      </c>
      <c r="C58" s="15" t="s">
        <v>101</v>
      </c>
      <c r="D58" s="25" t="s">
        <v>965</v>
      </c>
      <c r="E58" s="15" t="s">
        <v>966</v>
      </c>
      <c r="F58" s="15" t="s">
        <v>979</v>
      </c>
      <c r="G58" s="15"/>
      <c r="H58" s="18" t="s">
        <v>133</v>
      </c>
      <c r="I58" s="15"/>
      <c r="J58" s="27"/>
      <c r="K58" s="27"/>
      <c r="L58" s="27"/>
      <c r="M58" s="27"/>
      <c r="N58" s="27"/>
      <c r="O58" s="27"/>
      <c r="P58" s="27"/>
      <c r="Q58" s="27"/>
      <c r="R58" s="27"/>
      <c r="S58" s="27"/>
      <c r="T58" s="27"/>
      <c r="U58" s="27"/>
      <c r="V58" s="27"/>
      <c r="W58" s="27"/>
      <c r="X58" s="27"/>
      <c r="Y58" s="27"/>
      <c r="Z58" s="27"/>
    </row>
    <row r="59" ht="62.5" spans="1:26">
      <c r="A59" s="15" t="s">
        <v>980</v>
      </c>
      <c r="B59" s="19"/>
      <c r="C59" s="15" t="s">
        <v>104</v>
      </c>
      <c r="D59" s="8"/>
      <c r="E59" s="15" t="s">
        <v>969</v>
      </c>
      <c r="F59" s="15" t="s">
        <v>981</v>
      </c>
      <c r="G59" s="15"/>
      <c r="H59" s="18" t="s">
        <v>133</v>
      </c>
      <c r="I59" s="15"/>
      <c r="J59" s="27"/>
      <c r="K59" s="27"/>
      <c r="L59" s="27"/>
      <c r="M59" s="27"/>
      <c r="N59" s="27"/>
      <c r="O59" s="27"/>
      <c r="P59" s="27"/>
      <c r="Q59" s="27"/>
      <c r="R59" s="27"/>
      <c r="S59" s="27"/>
      <c r="T59" s="27"/>
      <c r="U59" s="27"/>
      <c r="V59" s="27"/>
      <c r="W59" s="27"/>
      <c r="X59" s="27"/>
      <c r="Y59" s="27"/>
      <c r="Z59" s="27"/>
    </row>
    <row r="60" ht="75" spans="1:26">
      <c r="A60" s="15" t="s">
        <v>982</v>
      </c>
      <c r="B60" s="19"/>
      <c r="C60" s="15" t="s">
        <v>107</v>
      </c>
      <c r="D60" s="8"/>
      <c r="E60" s="15" t="s">
        <v>972</v>
      </c>
      <c r="F60" s="15" t="s">
        <v>983</v>
      </c>
      <c r="G60" s="15"/>
      <c r="H60" s="18" t="s">
        <v>133</v>
      </c>
      <c r="I60" s="15"/>
      <c r="J60" s="27"/>
      <c r="K60" s="27"/>
      <c r="L60" s="27"/>
      <c r="M60" s="27"/>
      <c r="N60" s="27"/>
      <c r="O60" s="27"/>
      <c r="P60" s="27"/>
      <c r="Q60" s="27"/>
      <c r="R60" s="27"/>
      <c r="S60" s="27"/>
      <c r="T60" s="27"/>
      <c r="U60" s="27"/>
      <c r="V60" s="27"/>
      <c r="W60" s="27"/>
      <c r="X60" s="27"/>
      <c r="Y60" s="27"/>
      <c r="Z60" s="27"/>
    </row>
    <row r="61" ht="75" spans="1:26">
      <c r="A61" s="15" t="s">
        <v>984</v>
      </c>
      <c r="B61" s="20"/>
      <c r="C61" s="15" t="s">
        <v>110</v>
      </c>
      <c r="D61" s="10"/>
      <c r="E61" s="15" t="s">
        <v>975</v>
      </c>
      <c r="F61" s="15" t="s">
        <v>985</v>
      </c>
      <c r="G61" s="15"/>
      <c r="H61" s="18" t="s">
        <v>133</v>
      </c>
      <c r="I61" s="15"/>
      <c r="J61" s="27"/>
      <c r="K61" s="27"/>
      <c r="L61" s="27"/>
      <c r="M61" s="27"/>
      <c r="N61" s="27"/>
      <c r="O61" s="27"/>
      <c r="P61" s="27"/>
      <c r="Q61" s="27"/>
      <c r="R61" s="27"/>
      <c r="S61" s="27"/>
      <c r="T61" s="27"/>
      <c r="U61" s="27"/>
      <c r="V61" s="27"/>
      <c r="W61" s="27"/>
      <c r="X61" s="27"/>
      <c r="Y61" s="27"/>
      <c r="Z61" s="27"/>
    </row>
    <row r="62" ht="25" spans="1:26">
      <c r="A62" s="15" t="s">
        <v>986</v>
      </c>
      <c r="B62" s="16" t="s">
        <v>987</v>
      </c>
      <c r="C62" s="15" t="s">
        <v>988</v>
      </c>
      <c r="D62" s="16" t="s">
        <v>989</v>
      </c>
      <c r="E62" s="16" t="s">
        <v>990</v>
      </c>
      <c r="F62" s="15" t="s">
        <v>991</v>
      </c>
      <c r="G62" s="16" t="s">
        <v>992</v>
      </c>
      <c r="H62" s="18" t="s">
        <v>136</v>
      </c>
      <c r="I62" s="15"/>
      <c r="J62" s="27"/>
      <c r="K62" s="27"/>
      <c r="L62" s="27"/>
      <c r="M62" s="27"/>
      <c r="N62" s="27"/>
      <c r="O62" s="27"/>
      <c r="P62" s="27"/>
      <c r="Q62" s="27"/>
      <c r="R62" s="27"/>
      <c r="S62" s="27"/>
      <c r="T62" s="27"/>
      <c r="U62" s="27"/>
      <c r="V62" s="27"/>
      <c r="W62" s="27"/>
      <c r="X62" s="27"/>
      <c r="Y62" s="27"/>
      <c r="Z62" s="27"/>
    </row>
    <row r="63" ht="25" spans="1:26">
      <c r="A63" s="15" t="s">
        <v>993</v>
      </c>
      <c r="B63" s="19"/>
      <c r="C63" s="15" t="s">
        <v>994</v>
      </c>
      <c r="D63" s="19"/>
      <c r="E63" s="19"/>
      <c r="F63" s="15" t="s">
        <v>995</v>
      </c>
      <c r="G63" s="19"/>
      <c r="H63" s="18" t="s">
        <v>136</v>
      </c>
      <c r="I63" s="15"/>
      <c r="J63" s="27"/>
      <c r="K63" s="27"/>
      <c r="L63" s="27"/>
      <c r="M63" s="27"/>
      <c r="N63" s="27"/>
      <c r="O63" s="27"/>
      <c r="P63" s="27"/>
      <c r="Q63" s="27"/>
      <c r="R63" s="27"/>
      <c r="S63" s="27"/>
      <c r="T63" s="27"/>
      <c r="U63" s="27"/>
      <c r="V63" s="27"/>
      <c r="W63" s="27"/>
      <c r="X63" s="27"/>
      <c r="Y63" s="27"/>
      <c r="Z63" s="27"/>
    </row>
    <row r="64" ht="25" spans="1:26">
      <c r="A64" s="15" t="s">
        <v>996</v>
      </c>
      <c r="B64" s="19"/>
      <c r="C64" s="15" t="s">
        <v>997</v>
      </c>
      <c r="D64" s="19"/>
      <c r="E64" s="19"/>
      <c r="F64" s="15" t="s">
        <v>991</v>
      </c>
      <c r="G64" s="19"/>
      <c r="H64" s="18" t="s">
        <v>136</v>
      </c>
      <c r="I64" s="15"/>
      <c r="J64" s="27"/>
      <c r="K64" s="27"/>
      <c r="L64" s="27"/>
      <c r="M64" s="27"/>
      <c r="N64" s="27"/>
      <c r="O64" s="27"/>
      <c r="P64" s="27"/>
      <c r="Q64" s="27"/>
      <c r="R64" s="27"/>
      <c r="S64" s="27"/>
      <c r="T64" s="27"/>
      <c r="U64" s="27"/>
      <c r="V64" s="27"/>
      <c r="W64" s="27"/>
      <c r="X64" s="27"/>
      <c r="Y64" s="27"/>
      <c r="Z64" s="27"/>
    </row>
    <row r="65" ht="25" spans="1:26">
      <c r="A65" s="15" t="s">
        <v>998</v>
      </c>
      <c r="B65" s="20"/>
      <c r="C65" s="15" t="s">
        <v>999</v>
      </c>
      <c r="D65" s="20"/>
      <c r="E65" s="20"/>
      <c r="F65" s="15" t="s">
        <v>995</v>
      </c>
      <c r="G65" s="20"/>
      <c r="H65" s="18" t="s">
        <v>136</v>
      </c>
      <c r="I65" s="15"/>
      <c r="J65" s="27"/>
      <c r="K65" s="27"/>
      <c r="L65" s="27"/>
      <c r="M65" s="27"/>
      <c r="N65" s="27"/>
      <c r="O65" s="27"/>
      <c r="P65" s="27"/>
      <c r="Q65" s="27"/>
      <c r="R65" s="27"/>
      <c r="S65" s="27"/>
      <c r="T65" s="27"/>
      <c r="U65" s="27"/>
      <c r="V65" s="27"/>
      <c r="W65" s="27"/>
      <c r="X65" s="27"/>
      <c r="Y65" s="27"/>
      <c r="Z65" s="27"/>
    </row>
    <row r="66" ht="62.5" spans="1:26">
      <c r="A66" s="15" t="s">
        <v>1000</v>
      </c>
      <c r="B66" s="24" t="s">
        <v>1001</v>
      </c>
      <c r="C66" s="22"/>
      <c r="D66" s="16" t="s">
        <v>827</v>
      </c>
      <c r="E66" s="15" t="s">
        <v>1002</v>
      </c>
      <c r="F66" s="15" t="s">
        <v>1003</v>
      </c>
      <c r="G66" s="15" t="s">
        <v>1004</v>
      </c>
      <c r="H66" s="18" t="s">
        <v>134</v>
      </c>
      <c r="I66" s="15" t="s">
        <v>1005</v>
      </c>
      <c r="J66" s="27"/>
      <c r="K66" s="27"/>
      <c r="L66" s="27"/>
      <c r="M66" s="27"/>
      <c r="N66" s="27"/>
      <c r="O66" s="27"/>
      <c r="P66" s="27"/>
      <c r="Q66" s="27"/>
      <c r="R66" s="27"/>
      <c r="S66" s="27"/>
      <c r="T66" s="27"/>
      <c r="U66" s="27"/>
      <c r="V66" s="27"/>
      <c r="W66" s="27"/>
      <c r="X66" s="27"/>
      <c r="Y66" s="27"/>
      <c r="Z66" s="27"/>
    </row>
    <row r="67" ht="50" spans="1:26">
      <c r="A67" s="15" t="s">
        <v>1006</v>
      </c>
      <c r="B67" s="24" t="s">
        <v>1007</v>
      </c>
      <c r="C67" s="22"/>
      <c r="D67" s="19"/>
      <c r="E67" s="15" t="s">
        <v>828</v>
      </c>
      <c r="F67" s="15" t="s">
        <v>1008</v>
      </c>
      <c r="G67" s="15" t="s">
        <v>1009</v>
      </c>
      <c r="H67" s="18" t="s">
        <v>136</v>
      </c>
      <c r="I67" s="15"/>
      <c r="J67" s="27"/>
      <c r="K67" s="27"/>
      <c r="L67" s="27"/>
      <c r="M67" s="27"/>
      <c r="N67" s="27"/>
      <c r="O67" s="27"/>
      <c r="P67" s="27"/>
      <c r="Q67" s="27"/>
      <c r="R67" s="27"/>
      <c r="S67" s="27"/>
      <c r="T67" s="27"/>
      <c r="U67" s="27"/>
      <c r="V67" s="27"/>
      <c r="W67" s="27"/>
      <c r="X67" s="27"/>
      <c r="Y67" s="27"/>
      <c r="Z67" s="27"/>
    </row>
    <row r="68" ht="50" spans="1:26">
      <c r="A68" s="15" t="s">
        <v>1010</v>
      </c>
      <c r="B68" s="24" t="s">
        <v>1011</v>
      </c>
      <c r="C68" s="22"/>
      <c r="D68" s="20"/>
      <c r="E68" s="15" t="s">
        <v>1012</v>
      </c>
      <c r="F68" s="15" t="s">
        <v>1013</v>
      </c>
      <c r="G68" s="15"/>
      <c r="H68" s="18" t="s">
        <v>133</v>
      </c>
      <c r="I68" s="15"/>
      <c r="J68" s="27"/>
      <c r="K68" s="27"/>
      <c r="L68" s="27"/>
      <c r="M68" s="27"/>
      <c r="N68" s="27"/>
      <c r="O68" s="27"/>
      <c r="P68" s="27"/>
      <c r="Q68" s="27"/>
      <c r="R68" s="27"/>
      <c r="S68" s="27"/>
      <c r="T68" s="27"/>
      <c r="U68" s="27"/>
      <c r="V68" s="27"/>
      <c r="W68" s="27"/>
      <c r="X68" s="27"/>
      <c r="Y68" s="27"/>
      <c r="Z68" s="27"/>
    </row>
    <row r="69" ht="50" spans="1:26">
      <c r="A69" s="15" t="s">
        <v>1014</v>
      </c>
      <c r="B69" s="16" t="s">
        <v>1015</v>
      </c>
      <c r="C69" s="15" t="s">
        <v>114</v>
      </c>
      <c r="D69" s="16" t="s">
        <v>1016</v>
      </c>
      <c r="E69" s="15" t="s">
        <v>1017</v>
      </c>
      <c r="F69" s="15" t="s">
        <v>1018</v>
      </c>
      <c r="G69" s="15"/>
      <c r="H69" s="18" t="s">
        <v>133</v>
      </c>
      <c r="I69" s="15"/>
      <c r="J69" s="27"/>
      <c r="K69" s="27"/>
      <c r="L69" s="27"/>
      <c r="M69" s="27"/>
      <c r="N69" s="27"/>
      <c r="O69" s="27"/>
      <c r="P69" s="27"/>
      <c r="Q69" s="27"/>
      <c r="R69" s="27"/>
      <c r="S69" s="27"/>
      <c r="T69" s="27"/>
      <c r="U69" s="27"/>
      <c r="V69" s="27"/>
      <c r="W69" s="27"/>
      <c r="X69" s="27"/>
      <c r="Y69" s="27"/>
      <c r="Z69" s="27"/>
    </row>
    <row r="70" ht="50" spans="1:26">
      <c r="A70" s="15" t="s">
        <v>1019</v>
      </c>
      <c r="B70" s="19"/>
      <c r="C70" s="15" t="s">
        <v>115</v>
      </c>
      <c r="D70" s="20"/>
      <c r="E70" s="15" t="s">
        <v>1020</v>
      </c>
      <c r="F70" s="15" t="s">
        <v>1021</v>
      </c>
      <c r="G70" s="15"/>
      <c r="H70" s="18" t="s">
        <v>133</v>
      </c>
      <c r="I70" s="15"/>
      <c r="J70" s="27"/>
      <c r="K70" s="27"/>
      <c r="L70" s="27"/>
      <c r="M70" s="27"/>
      <c r="N70" s="27"/>
      <c r="O70" s="27"/>
      <c r="P70" s="27"/>
      <c r="Q70" s="27"/>
      <c r="R70" s="27"/>
      <c r="S70" s="27"/>
      <c r="T70" s="27"/>
      <c r="U70" s="27"/>
      <c r="V70" s="27"/>
      <c r="W70" s="27"/>
      <c r="X70" s="27"/>
      <c r="Y70" s="27"/>
      <c r="Z70" s="27"/>
    </row>
    <row r="71" ht="50" spans="1:26">
      <c r="A71" s="15" t="s">
        <v>1022</v>
      </c>
      <c r="B71" s="19"/>
      <c r="C71" s="15" t="s">
        <v>123</v>
      </c>
      <c r="D71" s="16" t="s">
        <v>1023</v>
      </c>
      <c r="E71" s="15" t="s">
        <v>1024</v>
      </c>
      <c r="F71" s="15" t="s">
        <v>1025</v>
      </c>
      <c r="G71" s="15"/>
      <c r="H71" s="18" t="s">
        <v>133</v>
      </c>
      <c r="I71" s="15"/>
      <c r="J71" s="27"/>
      <c r="K71" s="27"/>
      <c r="L71" s="27"/>
      <c r="M71" s="27"/>
      <c r="N71" s="27"/>
      <c r="O71" s="27"/>
      <c r="P71" s="27"/>
      <c r="Q71" s="27"/>
      <c r="R71" s="27"/>
      <c r="S71" s="27"/>
      <c r="T71" s="27"/>
      <c r="U71" s="27"/>
      <c r="V71" s="27"/>
      <c r="W71" s="27"/>
      <c r="X71" s="27"/>
      <c r="Y71" s="27"/>
      <c r="Z71" s="27"/>
    </row>
    <row r="72" ht="50" spans="1:26">
      <c r="A72" s="15" t="s">
        <v>1026</v>
      </c>
      <c r="B72" s="20"/>
      <c r="C72" s="15" t="s">
        <v>818</v>
      </c>
      <c r="D72" s="20"/>
      <c r="E72" s="15" t="s">
        <v>1024</v>
      </c>
      <c r="F72" s="15" t="s">
        <v>1027</v>
      </c>
      <c r="G72" s="15"/>
      <c r="H72" s="18" t="s">
        <v>133</v>
      </c>
      <c r="I72" s="15"/>
      <c r="J72" s="27"/>
      <c r="K72" s="27"/>
      <c r="L72" s="27"/>
      <c r="M72" s="27"/>
      <c r="N72" s="27"/>
      <c r="O72" s="27"/>
      <c r="P72" s="27"/>
      <c r="Q72" s="27"/>
      <c r="R72" s="27"/>
      <c r="S72" s="27"/>
      <c r="T72" s="27"/>
      <c r="U72" s="27"/>
      <c r="V72" s="27"/>
      <c r="W72" s="27"/>
      <c r="X72" s="27"/>
      <c r="Y72" s="27"/>
      <c r="Z72" s="27"/>
    </row>
    <row r="73" ht="50" spans="1:26">
      <c r="A73" s="15" t="s">
        <v>1028</v>
      </c>
      <c r="B73" s="21" t="s">
        <v>1029</v>
      </c>
      <c r="C73" s="22"/>
      <c r="D73" s="29" t="s">
        <v>827</v>
      </c>
      <c r="E73" s="23" t="s">
        <v>828</v>
      </c>
      <c r="F73" s="23" t="s">
        <v>1030</v>
      </c>
      <c r="G73" s="30"/>
      <c r="H73" s="18" t="s">
        <v>133</v>
      </c>
      <c r="I73" s="30"/>
      <c r="J73" s="28"/>
      <c r="K73" s="28"/>
      <c r="L73" s="28"/>
      <c r="M73" s="28"/>
      <c r="N73" s="28"/>
      <c r="O73" s="28"/>
      <c r="P73" s="28"/>
      <c r="Q73" s="28"/>
      <c r="R73" s="28"/>
      <c r="S73" s="28"/>
      <c r="T73" s="28"/>
      <c r="U73" s="28"/>
      <c r="V73" s="28"/>
      <c r="W73" s="28"/>
      <c r="X73" s="28"/>
      <c r="Y73" s="28"/>
      <c r="Z73" s="28"/>
    </row>
    <row r="74" ht="50" spans="1:26">
      <c r="A74" s="15" t="s">
        <v>1031</v>
      </c>
      <c r="B74" s="31" t="s">
        <v>1032</v>
      </c>
      <c r="C74" s="10"/>
      <c r="D74" s="8"/>
      <c r="E74" s="18" t="s">
        <v>828</v>
      </c>
      <c r="F74" s="18" t="s">
        <v>1033</v>
      </c>
      <c r="G74" s="32"/>
      <c r="H74" s="18" t="s">
        <v>133</v>
      </c>
      <c r="I74" s="32"/>
      <c r="J74" s="28"/>
      <c r="K74" s="28"/>
      <c r="L74" s="28"/>
      <c r="M74" s="28"/>
      <c r="N74" s="28"/>
      <c r="O74" s="28"/>
      <c r="P74" s="28"/>
      <c r="Q74" s="28"/>
      <c r="R74" s="28"/>
      <c r="S74" s="28"/>
      <c r="T74" s="28"/>
      <c r="U74" s="28"/>
      <c r="V74" s="28"/>
      <c r="W74" s="28"/>
      <c r="X74" s="28"/>
      <c r="Y74" s="28"/>
      <c r="Z74" s="28"/>
    </row>
    <row r="75" ht="50" spans="1:26">
      <c r="A75" s="15" t="s">
        <v>1034</v>
      </c>
      <c r="B75" s="31" t="s">
        <v>1035</v>
      </c>
      <c r="C75" s="10"/>
      <c r="D75" s="10"/>
      <c r="E75" s="18" t="s">
        <v>828</v>
      </c>
      <c r="F75" s="18" t="s">
        <v>1036</v>
      </c>
      <c r="G75" s="32"/>
      <c r="H75" s="18" t="s">
        <v>133</v>
      </c>
      <c r="I75" s="32"/>
      <c r="J75" s="28"/>
      <c r="K75" s="28"/>
      <c r="L75" s="28"/>
      <c r="M75" s="28"/>
      <c r="N75" s="28"/>
      <c r="O75" s="28"/>
      <c r="P75" s="28"/>
      <c r="Q75" s="28"/>
      <c r="R75" s="28"/>
      <c r="S75" s="28"/>
      <c r="T75" s="28"/>
      <c r="U75" s="28"/>
      <c r="V75" s="28"/>
      <c r="W75" s="28"/>
      <c r="X75" s="28"/>
      <c r="Y75" s="28"/>
      <c r="Z75" s="28"/>
    </row>
    <row r="76" ht="50" spans="1:26">
      <c r="A76" s="15" t="s">
        <v>1037</v>
      </c>
      <c r="B76" s="31" t="s">
        <v>1038</v>
      </c>
      <c r="C76" s="10"/>
      <c r="D76" s="23" t="s">
        <v>1039</v>
      </c>
      <c r="E76" s="18" t="s">
        <v>1040</v>
      </c>
      <c r="F76" s="18" t="s">
        <v>1041</v>
      </c>
      <c r="G76" s="32"/>
      <c r="H76" s="18" t="s">
        <v>133</v>
      </c>
      <c r="I76" s="32"/>
      <c r="J76" s="28"/>
      <c r="K76" s="28"/>
      <c r="L76" s="28"/>
      <c r="M76" s="28"/>
      <c r="N76" s="28"/>
      <c r="O76" s="28"/>
      <c r="P76" s="28"/>
      <c r="Q76" s="28"/>
      <c r="R76" s="28"/>
      <c r="S76" s="28"/>
      <c r="T76" s="28"/>
      <c r="U76" s="28"/>
      <c r="V76" s="28"/>
      <c r="W76" s="28"/>
      <c r="X76" s="28"/>
      <c r="Y76" s="28"/>
      <c r="Z76" s="28"/>
    </row>
    <row r="77" ht="50" spans="1:26">
      <c r="A77" s="15" t="s">
        <v>1042</v>
      </c>
      <c r="B77" s="31" t="s">
        <v>1043</v>
      </c>
      <c r="C77" s="10"/>
      <c r="D77" s="23" t="s">
        <v>1044</v>
      </c>
      <c r="E77" s="18" t="s">
        <v>1040</v>
      </c>
      <c r="F77" s="18" t="s">
        <v>1041</v>
      </c>
      <c r="G77" s="32"/>
      <c r="H77" s="18" t="s">
        <v>133</v>
      </c>
      <c r="I77" s="32"/>
      <c r="J77" s="28"/>
      <c r="K77" s="28"/>
      <c r="L77" s="28"/>
      <c r="M77" s="28"/>
      <c r="N77" s="28"/>
      <c r="O77" s="28"/>
      <c r="P77" s="28"/>
      <c r="Q77" s="28"/>
      <c r="R77" s="28"/>
      <c r="S77" s="28"/>
      <c r="T77" s="28"/>
      <c r="U77" s="28"/>
      <c r="V77" s="28"/>
      <c r="W77" s="28"/>
      <c r="X77" s="28"/>
      <c r="Y77" s="28"/>
      <c r="Z77" s="28"/>
    </row>
    <row r="78" ht="62.5" spans="1:26">
      <c r="A78" s="15" t="s">
        <v>1045</v>
      </c>
      <c r="B78" s="24" t="s">
        <v>1046</v>
      </c>
      <c r="C78" s="22"/>
      <c r="D78" s="23" t="s">
        <v>827</v>
      </c>
      <c r="E78" s="15" t="s">
        <v>1047</v>
      </c>
      <c r="F78" s="15" t="s">
        <v>1048</v>
      </c>
      <c r="G78" s="15"/>
      <c r="H78" s="18" t="s">
        <v>133</v>
      </c>
      <c r="I78" s="15"/>
      <c r="J78" s="27"/>
      <c r="K78" s="27"/>
      <c r="L78" s="27"/>
      <c r="M78" s="27"/>
      <c r="N78" s="27"/>
      <c r="O78" s="27"/>
      <c r="P78" s="27"/>
      <c r="Q78" s="27"/>
      <c r="R78" s="27"/>
      <c r="S78" s="27"/>
      <c r="T78" s="27"/>
      <c r="U78" s="27"/>
      <c r="V78" s="27"/>
      <c r="W78" s="27"/>
      <c r="X78" s="27"/>
      <c r="Y78" s="27"/>
      <c r="Z78" s="27"/>
    </row>
    <row r="79" ht="75" spans="1:26">
      <c r="A79" s="15" t="s">
        <v>1049</v>
      </c>
      <c r="B79" s="24" t="s">
        <v>1050</v>
      </c>
      <c r="C79" s="22"/>
      <c r="D79" s="23" t="s">
        <v>827</v>
      </c>
      <c r="E79" s="15" t="s">
        <v>1051</v>
      </c>
      <c r="F79" s="15" t="s">
        <v>1052</v>
      </c>
      <c r="G79" s="15"/>
      <c r="H79" s="18" t="s">
        <v>133</v>
      </c>
      <c r="I79" s="15"/>
      <c r="J79" s="27"/>
      <c r="K79" s="27"/>
      <c r="L79" s="27"/>
      <c r="M79" s="27"/>
      <c r="N79" s="27"/>
      <c r="O79" s="27"/>
      <c r="P79" s="27"/>
      <c r="Q79" s="27"/>
      <c r="R79" s="27"/>
      <c r="S79" s="27"/>
      <c r="T79" s="27"/>
      <c r="U79" s="27"/>
      <c r="V79" s="27"/>
      <c r="W79" s="27"/>
      <c r="X79" s="27"/>
      <c r="Y79" s="27"/>
      <c r="Z79" s="27"/>
    </row>
    <row r="80" ht="50" spans="1:26">
      <c r="A80" s="15" t="s">
        <v>1053</v>
      </c>
      <c r="B80" s="24" t="s">
        <v>1054</v>
      </c>
      <c r="C80" s="22"/>
      <c r="D80" s="23" t="s">
        <v>1055</v>
      </c>
      <c r="E80" s="15" t="s">
        <v>1056</v>
      </c>
      <c r="F80" s="15" t="s">
        <v>1057</v>
      </c>
      <c r="G80" s="15" t="s">
        <v>543</v>
      </c>
      <c r="H80" s="18" t="s">
        <v>134</v>
      </c>
      <c r="I80" s="15" t="s">
        <v>1058</v>
      </c>
      <c r="J80" s="27"/>
      <c r="K80" s="27"/>
      <c r="L80" s="27"/>
      <c r="M80" s="27"/>
      <c r="N80" s="27"/>
      <c r="O80" s="27"/>
      <c r="P80" s="27"/>
      <c r="Q80" s="27"/>
      <c r="R80" s="27"/>
      <c r="S80" s="27"/>
      <c r="T80" s="27"/>
      <c r="U80" s="27"/>
      <c r="V80" s="27"/>
      <c r="W80" s="27"/>
      <c r="X80" s="27"/>
      <c r="Y80" s="27"/>
      <c r="Z80" s="27"/>
    </row>
    <row r="81" ht="25" spans="1:26">
      <c r="A81" s="15" t="s">
        <v>1059</v>
      </c>
      <c r="B81" s="24" t="s">
        <v>1060</v>
      </c>
      <c r="C81" s="22"/>
      <c r="D81" s="15" t="s">
        <v>876</v>
      </c>
      <c r="E81" s="15" t="s">
        <v>1061</v>
      </c>
      <c r="F81" s="15" t="s">
        <v>1062</v>
      </c>
      <c r="G81" s="15" t="s">
        <v>1063</v>
      </c>
      <c r="H81" s="18" t="s">
        <v>134</v>
      </c>
      <c r="I81" s="15" t="s">
        <v>1064</v>
      </c>
      <c r="J81" s="27"/>
      <c r="K81" s="27"/>
      <c r="L81" s="27"/>
      <c r="M81" s="27"/>
      <c r="N81" s="27"/>
      <c r="O81" s="27"/>
      <c r="P81" s="27"/>
      <c r="Q81" s="27"/>
      <c r="R81" s="27"/>
      <c r="S81" s="27"/>
      <c r="T81" s="27"/>
      <c r="U81" s="27"/>
      <c r="V81" s="27"/>
      <c r="W81" s="27"/>
      <c r="X81" s="27"/>
      <c r="Y81" s="27"/>
      <c r="Z81" s="27"/>
    </row>
    <row r="82" ht="50" spans="1:26">
      <c r="A82" s="15" t="s">
        <v>1065</v>
      </c>
      <c r="B82" s="24" t="s">
        <v>1066</v>
      </c>
      <c r="C82" s="22"/>
      <c r="D82" s="15" t="s">
        <v>876</v>
      </c>
      <c r="E82" s="15" t="s">
        <v>1067</v>
      </c>
      <c r="F82" s="15" t="s">
        <v>1068</v>
      </c>
      <c r="G82" s="15" t="s">
        <v>1069</v>
      </c>
      <c r="H82" s="15" t="s">
        <v>134</v>
      </c>
      <c r="I82" s="15" t="s">
        <v>1070</v>
      </c>
      <c r="J82" s="27"/>
      <c r="K82" s="27"/>
      <c r="L82" s="27"/>
      <c r="M82" s="27"/>
      <c r="N82" s="27"/>
      <c r="O82" s="27"/>
      <c r="P82" s="27"/>
      <c r="Q82" s="27"/>
      <c r="R82" s="27"/>
      <c r="S82" s="27"/>
      <c r="T82" s="27"/>
      <c r="U82" s="27"/>
      <c r="V82" s="27"/>
      <c r="W82" s="27"/>
      <c r="X82" s="27"/>
      <c r="Y82" s="27"/>
      <c r="Z82" s="27"/>
    </row>
    <row r="83" customHeight="1" spans="1:26">
      <c r="A83" s="33"/>
      <c r="B83" s="33"/>
      <c r="C83" s="33"/>
      <c r="D83" s="33"/>
      <c r="E83" s="33"/>
      <c r="F83" s="33"/>
      <c r="G83" s="33"/>
      <c r="H83" s="33"/>
      <c r="I83" s="33"/>
      <c r="J83" s="27"/>
      <c r="K83" s="27"/>
      <c r="L83" s="27"/>
      <c r="M83" s="27"/>
      <c r="N83" s="27"/>
      <c r="O83" s="27"/>
      <c r="P83" s="27"/>
      <c r="Q83" s="27"/>
      <c r="R83" s="27"/>
      <c r="S83" s="27"/>
      <c r="T83" s="27"/>
      <c r="U83" s="27"/>
      <c r="V83" s="27"/>
      <c r="W83" s="27"/>
      <c r="X83" s="27"/>
      <c r="Y83" s="27"/>
      <c r="Z83" s="27"/>
    </row>
    <row r="84" customHeight="1" spans="1:26">
      <c r="A84" s="33"/>
      <c r="B84" s="33"/>
      <c r="C84" s="33"/>
      <c r="D84" s="33"/>
      <c r="E84" s="33"/>
      <c r="F84" s="33"/>
      <c r="G84" s="33"/>
      <c r="H84" s="33"/>
      <c r="I84" s="33"/>
      <c r="J84" s="27"/>
      <c r="K84" s="27"/>
      <c r="L84" s="27"/>
      <c r="M84" s="27"/>
      <c r="N84" s="27"/>
      <c r="O84" s="27"/>
      <c r="P84" s="27"/>
      <c r="Q84" s="27"/>
      <c r="R84" s="27"/>
      <c r="S84" s="27"/>
      <c r="T84" s="27"/>
      <c r="U84" s="27"/>
      <c r="V84" s="27"/>
      <c r="W84" s="27"/>
      <c r="X84" s="27"/>
      <c r="Y84" s="27"/>
      <c r="Z84" s="27"/>
    </row>
    <row r="85" customHeight="1" spans="1:26">
      <c r="A85" s="33"/>
      <c r="B85" s="33"/>
      <c r="C85" s="33"/>
      <c r="D85" s="33"/>
      <c r="E85" s="33"/>
      <c r="F85" s="33"/>
      <c r="G85" s="33"/>
      <c r="H85" s="33"/>
      <c r="I85" s="33"/>
      <c r="J85" s="27"/>
      <c r="K85" s="27"/>
      <c r="L85" s="27"/>
      <c r="M85" s="27"/>
      <c r="N85" s="27"/>
      <c r="O85" s="27"/>
      <c r="P85" s="27"/>
      <c r="Q85" s="27"/>
      <c r="R85" s="27"/>
      <c r="S85" s="27"/>
      <c r="T85" s="27"/>
      <c r="U85" s="27"/>
      <c r="V85" s="27"/>
      <c r="W85" s="27"/>
      <c r="X85" s="27"/>
      <c r="Y85" s="27"/>
      <c r="Z85" s="27"/>
    </row>
    <row r="86" customHeight="1" spans="1:26">
      <c r="A86" s="33"/>
      <c r="B86" s="33"/>
      <c r="C86" s="33"/>
      <c r="D86" s="33"/>
      <c r="E86" s="33"/>
      <c r="F86" s="33"/>
      <c r="G86" s="33"/>
      <c r="H86" s="33"/>
      <c r="I86" s="33"/>
      <c r="J86" s="27"/>
      <c r="K86" s="27"/>
      <c r="L86" s="27"/>
      <c r="M86" s="27"/>
      <c r="N86" s="27"/>
      <c r="O86" s="27"/>
      <c r="P86" s="27"/>
      <c r="Q86" s="27"/>
      <c r="R86" s="27"/>
      <c r="S86" s="27"/>
      <c r="T86" s="27"/>
      <c r="U86" s="27"/>
      <c r="V86" s="27"/>
      <c r="W86" s="27"/>
      <c r="X86" s="27"/>
      <c r="Y86" s="27"/>
      <c r="Z86" s="27"/>
    </row>
    <row r="87" customHeight="1" spans="1:26">
      <c r="A87" s="33"/>
      <c r="B87" s="33"/>
      <c r="C87" s="33"/>
      <c r="D87" s="33"/>
      <c r="E87" s="33"/>
      <c r="F87" s="33"/>
      <c r="G87" s="33"/>
      <c r="H87" s="33"/>
      <c r="I87" s="33"/>
      <c r="J87" s="27"/>
      <c r="K87" s="27"/>
      <c r="L87" s="27"/>
      <c r="M87" s="27"/>
      <c r="N87" s="27"/>
      <c r="O87" s="27"/>
      <c r="P87" s="27"/>
      <c r="Q87" s="27"/>
      <c r="R87" s="27"/>
      <c r="S87" s="27"/>
      <c r="T87" s="27"/>
      <c r="U87" s="27"/>
      <c r="V87" s="27"/>
      <c r="W87" s="27"/>
      <c r="X87" s="27"/>
      <c r="Y87" s="27"/>
      <c r="Z87" s="27"/>
    </row>
    <row r="88" customHeight="1" spans="1:26">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customHeight="1" spans="1:26">
      <c r="A89" s="27"/>
      <c r="B89" s="27" t="s">
        <v>1071</v>
      </c>
      <c r="C89" s="27"/>
      <c r="D89" s="27"/>
      <c r="E89" s="27"/>
      <c r="F89" s="27"/>
      <c r="G89" s="27"/>
      <c r="H89" s="27"/>
      <c r="I89" s="27"/>
      <c r="J89" s="27"/>
      <c r="K89" s="27"/>
      <c r="L89" s="27"/>
      <c r="M89" s="27"/>
      <c r="N89" s="27"/>
      <c r="O89" s="27"/>
      <c r="P89" s="27"/>
      <c r="Q89" s="27"/>
      <c r="R89" s="27"/>
      <c r="S89" s="27"/>
      <c r="T89" s="27"/>
      <c r="U89" s="27"/>
      <c r="V89" s="27"/>
      <c r="W89" s="27"/>
      <c r="X89" s="27"/>
      <c r="Y89" s="27"/>
      <c r="Z89" s="27"/>
    </row>
    <row r="90" customHeight="1" spans="1:26">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customHeight="1" spans="1:26">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customHeight="1" spans="1:26">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customHeight="1" spans="1:26">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customHeight="1" spans="1:26">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customHeight="1" spans="1:26">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customHeight="1" spans="1:26">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customHeight="1" spans="1:26">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customHeight="1" spans="1:26">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customHeight="1" spans="1:26">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customHeight="1" spans="1:26">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customHeight="1" spans="1:26">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customHeight="1" spans="1:26">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customHeight="1" spans="1:26">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customHeight="1" spans="1:26">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customHeight="1" spans="1:26">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customHeight="1" spans="1:26">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customHeight="1" spans="1:26">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customHeight="1" spans="1:26">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customHeight="1" spans="1:26">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customHeight="1" spans="1:26">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customHeight="1" spans="1:26">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customHeight="1" spans="1:26">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customHeight="1" spans="1:26">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customHeight="1" spans="1:26">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customHeight="1" spans="1:26">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customHeight="1" spans="1:26">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customHeight="1" spans="1:26">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customHeight="1" spans="1:26">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customHeight="1" spans="1:26">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customHeight="1" spans="1:26">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customHeight="1" spans="1:26">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customHeight="1" spans="1:26">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customHeight="1" spans="1:26">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customHeight="1" spans="1:26">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customHeight="1" spans="1:26">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customHeight="1" spans="1:26">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customHeight="1" spans="1:26">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customHeight="1" spans="1:26">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customHeight="1" spans="1:26">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customHeight="1" spans="1:26">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customHeight="1" spans="1:26">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customHeight="1" spans="1:26">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customHeight="1" spans="1:26">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customHeight="1" spans="1:26">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customHeight="1" spans="1:26">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customHeight="1" spans="1:26">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customHeight="1" spans="1:26">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customHeight="1" spans="1:26">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customHeight="1" spans="1:26">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customHeight="1" spans="1:26">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customHeight="1" spans="1:26">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customHeight="1" spans="1:26">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customHeight="1" spans="1:26">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customHeight="1" spans="1:26">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customHeight="1" spans="1:26">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customHeight="1" spans="1:26">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customHeight="1" spans="1:26">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customHeight="1" spans="1:26">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customHeight="1" spans="1:26">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customHeight="1" spans="1:26">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customHeight="1" spans="1:26">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customHeight="1" spans="1:26">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customHeight="1" spans="1:26">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customHeight="1" spans="1:26">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customHeight="1" spans="1:26">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customHeight="1" spans="1:26">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customHeight="1" spans="1:26">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customHeight="1" spans="1:26">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customHeight="1" spans="1:26">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customHeight="1" spans="1:26">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customHeight="1" spans="1:26">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customHeight="1" spans="1:26">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customHeight="1" spans="1:26">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customHeight="1" spans="1:26">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customHeight="1" spans="1:26">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customHeight="1" spans="1:26">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customHeight="1" spans="1:26">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customHeight="1" spans="1:26">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customHeight="1" spans="1:26">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customHeight="1" spans="1:26">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customHeight="1" spans="1:26">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customHeight="1" spans="1:26">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customHeight="1" spans="1:26">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customHeight="1" spans="1:26">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customHeight="1" spans="1:26">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customHeight="1" spans="1:26">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customHeight="1" spans="1:26">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customHeight="1" spans="1:26">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customHeight="1" spans="1:26">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customHeight="1" spans="1:26">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customHeight="1" spans="1:26">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customHeight="1" spans="1:26">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customHeight="1" spans="1:26">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customHeight="1" spans="1:26">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customHeight="1" spans="1:26">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customHeight="1" spans="1:26">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customHeight="1" spans="1:26">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customHeight="1" spans="1:26">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customHeight="1" spans="1:26">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customHeight="1" spans="1:26">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customHeight="1" spans="1:26">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customHeight="1" spans="1:26">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customHeight="1" spans="1:26">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customHeight="1" spans="1:26">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customHeight="1" spans="1:26">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customHeight="1" spans="1:26">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customHeight="1" spans="1:26">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customHeight="1" spans="1:26">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customHeight="1" spans="1:26">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customHeight="1" spans="1:26">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customHeight="1" spans="1:26">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customHeight="1" spans="1:26">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customHeight="1" spans="1:26">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customHeight="1" spans="1:26">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customHeight="1" spans="1:26">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customHeight="1" spans="1:26">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customHeight="1" spans="1:26">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customHeight="1" spans="1:26">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customHeight="1" spans="1:26">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customHeight="1" spans="1:26">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customHeight="1" spans="1:26">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customHeight="1" spans="1:26">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customHeight="1" spans="1:26">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customHeight="1" spans="1:26">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customHeight="1" spans="1:26">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customHeight="1" spans="1:26">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customHeight="1" spans="1:26">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customHeight="1" spans="1:26">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customHeight="1" spans="1:26">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customHeight="1" spans="1:26">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customHeight="1" spans="1:26">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customHeight="1" spans="1:26">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customHeight="1" spans="1:26">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customHeight="1" spans="1:26">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customHeight="1" spans="1:26">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customHeight="1" spans="1:26">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customHeight="1" spans="1:26">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customHeight="1" spans="1:26">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customHeight="1" spans="1:26">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customHeight="1" spans="1:26">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customHeight="1" spans="1:26">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customHeight="1" spans="1:26">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customHeight="1" spans="1:26">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customHeight="1" spans="1:26">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customHeight="1" spans="1:26">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customHeight="1" spans="1:26">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customHeight="1" spans="1:26">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customHeight="1" spans="1:26">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customHeight="1" spans="1:26">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customHeight="1" spans="1:26">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customHeight="1" spans="1:26">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customHeight="1" spans="1:26">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customHeight="1" spans="1:26">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customHeight="1" spans="1:26">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customHeight="1" spans="1:26">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customHeight="1" spans="1:26">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customHeight="1" spans="1:26">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customHeight="1" spans="1:26">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customHeight="1" spans="1:26">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customHeight="1" spans="1:26">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customHeight="1" spans="1:26">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customHeight="1" spans="1:26">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customHeight="1" spans="1:26">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customHeight="1" spans="1:26">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customHeight="1" spans="1:26">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customHeight="1" spans="1:26">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customHeight="1" spans="1:26">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customHeight="1" spans="1:26">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customHeight="1" spans="1:26">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customHeight="1" spans="1:26">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customHeight="1" spans="1:26">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customHeight="1" spans="1:26">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customHeight="1" spans="1:26">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customHeight="1" spans="1:26">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customHeight="1" spans="1:26">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customHeight="1" spans="1:26">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customHeight="1" spans="1:26">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customHeight="1" spans="1:26">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customHeight="1" spans="1:26">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customHeight="1" spans="1:26">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customHeight="1" spans="1:26">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customHeight="1" spans="1:26">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customHeight="1" spans="1:26">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customHeight="1" spans="1:26">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customHeight="1" spans="1:26">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customHeight="1" spans="1:26">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customHeight="1" spans="1:26">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customHeight="1" spans="1:26">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customHeight="1" spans="1:26">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customHeight="1" spans="1:26">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customHeight="1" spans="1:26">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customHeight="1" spans="1:26">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customHeight="1" spans="1:26">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customHeight="1" spans="1:26">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customHeight="1" spans="1:26">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customHeight="1" spans="1:26">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customHeight="1" spans="1:26">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customHeight="1" spans="1:26">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customHeight="1" spans="1:26">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customHeight="1" spans="1:26">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customHeight="1" spans="1:26">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customHeight="1" spans="1:26">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customHeight="1" spans="1:26">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customHeight="1" spans="1:26">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customHeight="1" spans="1:26">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customHeight="1" spans="1:26">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customHeight="1" spans="1:26">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customHeight="1" spans="1:26">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customHeight="1" spans="1:26">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customHeight="1" spans="1:26">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customHeight="1" spans="1:26">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customHeight="1" spans="1:26">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customHeight="1" spans="1:26">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customHeight="1" spans="1:26">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customHeight="1" spans="1:26">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customHeight="1" spans="1:26">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customHeight="1" spans="1:26">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customHeight="1" spans="1:26">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customHeight="1" spans="1:26">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customHeight="1" spans="1:26">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customHeight="1" spans="1:26">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customHeight="1" spans="1:26">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customHeight="1" spans="1:26">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customHeight="1" spans="1:26">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customHeight="1" spans="1:26">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customHeight="1" spans="1:26">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customHeight="1" spans="1:26">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customHeight="1" spans="1:26">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customHeight="1" spans="1:26">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customHeight="1" spans="1:26">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customHeight="1" spans="1:26">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customHeight="1" spans="1:26">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customHeight="1" spans="1:26">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customHeight="1" spans="1:26">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customHeight="1" spans="1:26">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customHeight="1" spans="1:26">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customHeight="1" spans="1:26">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customHeight="1" spans="1:26">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customHeight="1" spans="1:26">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customHeight="1" spans="1:26">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customHeight="1" spans="1:26">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customHeight="1" spans="1:26">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customHeight="1" spans="1:26">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customHeight="1" spans="1:26">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customHeight="1" spans="1:26">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customHeight="1" spans="1:26">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customHeight="1" spans="1:26">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customHeight="1" spans="1:26">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customHeight="1" spans="1:26">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customHeight="1" spans="1:26">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customHeight="1" spans="1:26">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customHeight="1" spans="1:26">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customHeight="1" spans="1:26">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customHeight="1" spans="1:26">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customHeight="1" spans="1:26">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customHeight="1" spans="1:26">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customHeight="1" spans="1:26">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customHeight="1" spans="1:26">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customHeight="1" spans="1:26">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customHeight="1" spans="1:26">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customHeight="1" spans="1:26">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customHeight="1" spans="1:26">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customHeight="1" spans="1:26">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customHeight="1" spans="1:26">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customHeight="1" spans="1:26">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customHeight="1" spans="1:26">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customHeight="1" spans="1:26">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customHeight="1" spans="1:26">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customHeight="1" spans="1:26">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customHeight="1" spans="1:26">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customHeight="1" spans="1:26">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customHeight="1" spans="1:26">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customHeight="1" spans="1:26">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customHeight="1" spans="1:26">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customHeight="1" spans="1:26">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customHeight="1" spans="1:26">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customHeight="1" spans="1:26">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customHeight="1" spans="1:26">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customHeight="1" spans="1:26">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customHeight="1" spans="1:26">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customHeight="1" spans="1:26">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customHeight="1" spans="1:26">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customHeight="1" spans="1:26">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customHeight="1" spans="1:26">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customHeight="1" spans="1:26">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customHeight="1" spans="1:26">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customHeight="1" spans="1:26">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customHeight="1" spans="1:26">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customHeight="1" spans="1:26">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customHeight="1" spans="1:26">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customHeight="1" spans="1:26">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customHeight="1" spans="1:26">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customHeight="1" spans="1:26">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customHeight="1" spans="1:26">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customHeight="1" spans="1:26">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customHeight="1" spans="1:26">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customHeight="1" spans="1:26">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customHeight="1" spans="1:26">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customHeight="1" spans="1:26">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customHeight="1" spans="1:26">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customHeight="1" spans="1:26">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customHeight="1" spans="1:26">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customHeight="1" spans="1:26">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customHeight="1" spans="1:26">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customHeight="1" spans="1:26">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customHeight="1" spans="1:26">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customHeight="1" spans="1:26">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customHeight="1" spans="1:26">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customHeight="1" spans="1:26">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customHeight="1" spans="1:26">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customHeight="1" spans="1:26">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customHeight="1" spans="1:26">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customHeight="1" spans="1:26">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customHeight="1" spans="1:26">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customHeight="1" spans="1:26">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customHeight="1" spans="1:26">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customHeight="1" spans="1:26">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customHeight="1" spans="1:26">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customHeight="1" spans="1:26">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customHeight="1" spans="1:26">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customHeight="1" spans="1:26">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customHeight="1" spans="1:26">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customHeight="1" spans="1:26">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customHeight="1" spans="1:26">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customHeight="1" spans="1:26">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customHeight="1" spans="1:26">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customHeight="1" spans="1:26">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customHeight="1" spans="1:26">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customHeight="1" spans="1:26">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customHeight="1" spans="1:26">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customHeight="1" spans="1:26">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customHeight="1" spans="1:26">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customHeight="1" spans="1:26">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customHeight="1" spans="1:26">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customHeight="1" spans="1:26">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customHeight="1" spans="1:26">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customHeight="1" spans="1:26">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customHeight="1" spans="1:26">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customHeight="1" spans="1:26">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customHeight="1" spans="1:26">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customHeight="1" spans="1:26">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customHeight="1" spans="1:26">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customHeight="1" spans="1:26">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customHeight="1" spans="1:26">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customHeight="1" spans="1:26">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customHeight="1" spans="1:26">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customHeight="1" spans="1:26">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customHeight="1" spans="1:26">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customHeight="1" spans="1:26">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customHeight="1" spans="1:26">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customHeight="1" spans="1:26">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customHeight="1" spans="1:26">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customHeight="1" spans="1:26">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customHeight="1" spans="1:26">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customHeight="1" spans="1:26">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customHeight="1" spans="1:26">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customHeight="1" spans="1:26">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customHeight="1" spans="1:26">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customHeight="1" spans="1:26">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customHeight="1" spans="1:26">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customHeight="1" spans="1:26">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customHeight="1" spans="1:26">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customHeight="1" spans="1:26">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customHeight="1" spans="1:26">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customHeight="1" spans="1:26">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customHeight="1" spans="1:26">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customHeight="1" spans="1:26">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customHeight="1" spans="1:26">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customHeight="1" spans="1:26">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customHeight="1" spans="1:26">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customHeight="1" spans="1:26">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customHeight="1" spans="1:26">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customHeight="1" spans="1:26">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customHeight="1" spans="1:26">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customHeight="1" spans="1:26">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customHeight="1" spans="1:26">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customHeight="1" spans="1:26">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customHeight="1" spans="1:26">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customHeight="1" spans="1:26">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customHeight="1" spans="1:26">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customHeight="1" spans="1:26">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customHeight="1" spans="1:26">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customHeight="1" spans="1:26">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customHeight="1" spans="1:26">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customHeight="1" spans="1:26">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customHeight="1" spans="1:26">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customHeight="1" spans="1:26">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customHeight="1" spans="1:26">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customHeight="1" spans="1:26">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customHeight="1" spans="1:26">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customHeight="1" spans="1:26">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customHeight="1" spans="1:26">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customHeight="1" spans="1:26">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customHeight="1" spans="1:26">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customHeight="1" spans="1:26">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customHeight="1" spans="1:26">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customHeight="1" spans="1:26">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customHeight="1" spans="1:26">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customHeight="1" spans="1:26">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customHeight="1" spans="1:26">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customHeight="1" spans="1:26">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customHeight="1" spans="1:26">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customHeight="1" spans="1:26">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customHeight="1" spans="1:26">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customHeight="1" spans="1:26">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customHeight="1" spans="1:26">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customHeight="1" spans="1:26">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customHeight="1" spans="1:26">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customHeight="1" spans="1:26">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customHeight="1" spans="1:26">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customHeight="1" spans="1:26">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customHeight="1" spans="1:26">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customHeight="1" spans="1:26">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customHeight="1" spans="1:26">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customHeight="1" spans="1:26">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customHeight="1" spans="1:26">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customHeight="1" spans="1:26">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customHeight="1" spans="1:26">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customHeight="1" spans="1:26">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customHeight="1" spans="1:26">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customHeight="1" spans="1:26">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customHeight="1" spans="1:26">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customHeight="1" spans="1:26">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customHeight="1" spans="1:26">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customHeight="1" spans="1:26">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customHeight="1" spans="1:26">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customHeight="1" spans="1:26">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customHeight="1" spans="1:26">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customHeight="1" spans="1:26">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customHeight="1" spans="1:26">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customHeight="1" spans="1:26">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customHeight="1" spans="1:26">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customHeight="1" spans="1:26">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customHeight="1" spans="1:26">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customHeight="1" spans="1:26">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customHeight="1" spans="1:26">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customHeight="1" spans="1:26">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customHeight="1" spans="1:26">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customHeight="1" spans="1:26">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customHeight="1" spans="1:26">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customHeight="1" spans="1:26">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customHeight="1" spans="1:26">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customHeight="1" spans="1:26">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customHeight="1" spans="1:26">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customHeight="1" spans="1:26">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customHeight="1" spans="1:26">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customHeight="1" spans="1:26">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customHeight="1" spans="1:26">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customHeight="1" spans="1:26">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customHeight="1" spans="1:26">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customHeight="1" spans="1:26">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customHeight="1" spans="1:26">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customHeight="1" spans="1:26">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customHeight="1" spans="1:26">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customHeight="1" spans="1:26">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customHeight="1" spans="1:26">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customHeight="1" spans="1:26">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customHeight="1" spans="1:26">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customHeight="1" spans="1:26">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customHeight="1" spans="1:26">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customHeight="1" spans="1:26">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customHeight="1" spans="1:26">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customHeight="1" spans="1:26">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customHeight="1" spans="1:26">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customHeight="1" spans="1:26">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customHeight="1" spans="1:26">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customHeight="1" spans="1:26">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customHeight="1" spans="1:26">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customHeight="1" spans="1:26">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customHeight="1" spans="1:26">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customHeight="1" spans="1:26">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customHeight="1" spans="1:26">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customHeight="1" spans="1:26">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customHeight="1" spans="1:26">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customHeight="1" spans="1:26">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customHeight="1" spans="1:26">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customHeight="1" spans="1:26">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customHeight="1" spans="1:26">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customHeight="1" spans="1:26">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customHeight="1" spans="1:26">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customHeight="1" spans="1:26">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customHeight="1" spans="1:26">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customHeight="1" spans="1:26">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customHeight="1" spans="1:26">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customHeight="1" spans="1:26">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customHeight="1" spans="1:26">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customHeight="1" spans="1:26">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customHeight="1" spans="1:26">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customHeight="1" spans="1:26">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customHeight="1" spans="1:26">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customHeight="1" spans="1:26">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customHeight="1" spans="1:26">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customHeight="1" spans="1:26">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customHeight="1" spans="1:26">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customHeight="1" spans="1:26">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customHeight="1" spans="1:26">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customHeight="1" spans="1:26">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customHeight="1" spans="1:26">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customHeight="1" spans="1:26">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customHeight="1" spans="1:26">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customHeight="1" spans="1:26">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customHeight="1" spans="1:26">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customHeight="1" spans="1:26">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customHeight="1" spans="1:26">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customHeight="1" spans="1:26">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customHeight="1" spans="1:26">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customHeight="1" spans="1:26">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customHeight="1" spans="1:26">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customHeight="1" spans="1:26">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customHeight="1" spans="1:26">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customHeight="1" spans="1:26">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customHeight="1" spans="1:26">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customHeight="1" spans="1:26">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customHeight="1" spans="1:26">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customHeight="1" spans="1:26">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customHeight="1" spans="1:26">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customHeight="1" spans="1:26">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customHeight="1" spans="1:26">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customHeight="1" spans="1:26">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customHeight="1" spans="1:26">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customHeight="1" spans="1:26">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customHeight="1" spans="1:26">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customHeight="1" spans="1:26">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customHeight="1" spans="1:26">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customHeight="1" spans="1:26">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customHeight="1" spans="1:26">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customHeight="1" spans="1:26">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customHeight="1" spans="1:26">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customHeight="1" spans="1:26">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customHeight="1" spans="1:26">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customHeight="1" spans="1:26">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customHeight="1" spans="1:26">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customHeight="1" spans="1:26">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customHeight="1" spans="1:26">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customHeight="1" spans="1:26">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customHeight="1" spans="1:26">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customHeight="1" spans="1:26">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customHeight="1" spans="1:26">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customHeight="1" spans="1:26">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customHeight="1" spans="1:26">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customHeight="1" spans="1:26">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customHeight="1" spans="1:26">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customHeight="1" spans="1:26">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customHeight="1" spans="1:26">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customHeight="1" spans="1:26">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customHeight="1" spans="1:26">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customHeight="1" spans="1:26">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customHeight="1" spans="1:26">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customHeight="1" spans="1:26">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customHeight="1" spans="1:26">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customHeight="1" spans="1:26">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customHeight="1" spans="1:26">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customHeight="1" spans="1:26">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customHeight="1" spans="1:26">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customHeight="1" spans="1:26">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customHeight="1" spans="1:26">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customHeight="1" spans="1:26">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customHeight="1" spans="1:26">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customHeight="1" spans="1:26">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customHeight="1" spans="1:26">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customHeight="1" spans="1:26">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customHeight="1" spans="1:26">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customHeight="1" spans="1:26">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customHeight="1" spans="1:26">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customHeight="1" spans="1:26">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customHeight="1" spans="1:26">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customHeight="1" spans="1:26">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customHeight="1" spans="1:26">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customHeight="1" spans="1:26">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customHeight="1" spans="1:26">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customHeight="1" spans="1:26">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customHeight="1" spans="1:26">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customHeight="1" spans="1:26">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customHeight="1" spans="1:26">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customHeight="1" spans="1:26">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customHeight="1" spans="1:26">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customHeight="1" spans="1:26">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customHeight="1" spans="1:26">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customHeight="1" spans="1:26">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customHeight="1" spans="1:26">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customHeight="1" spans="1:26">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customHeight="1" spans="1:26">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customHeight="1" spans="1:26">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customHeight="1" spans="1:26">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customHeight="1" spans="1:26">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customHeight="1" spans="1:26">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customHeight="1" spans="1:26">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customHeight="1" spans="1:26">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customHeight="1" spans="1:26">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customHeight="1" spans="1:26">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customHeight="1" spans="1:26">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customHeight="1" spans="1:26">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customHeight="1" spans="1:26">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customHeight="1" spans="1:26">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customHeight="1" spans="1:26">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customHeight="1" spans="1:26">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customHeight="1" spans="1:26">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customHeight="1" spans="1:26">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customHeight="1" spans="1:26">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customHeight="1" spans="1:26">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customHeight="1" spans="1:26">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customHeight="1" spans="1:26">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customHeight="1" spans="1:26">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customHeight="1" spans="1:26">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customHeight="1" spans="1:26">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customHeight="1" spans="1:26">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customHeight="1" spans="1:26">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customHeight="1" spans="1:26">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customHeight="1" spans="1:26">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customHeight="1" spans="1:26">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customHeight="1" spans="1:26">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customHeight="1" spans="1:26">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customHeight="1" spans="1:26">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customHeight="1" spans="1:26">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customHeight="1" spans="1:26">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customHeight="1" spans="1:26">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customHeight="1" spans="1:26">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customHeight="1" spans="1:26">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customHeight="1" spans="1:26">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customHeight="1" spans="1:26">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customHeight="1" spans="1:26">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customHeight="1" spans="1:26">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customHeight="1" spans="1:26">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customHeight="1" spans="1:26">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customHeight="1" spans="1:26">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customHeight="1" spans="1:26">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customHeight="1" spans="1:26">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customHeight="1" spans="1:26">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customHeight="1" spans="1:26">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customHeight="1" spans="1:26">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customHeight="1" spans="1:26">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customHeight="1" spans="1:26">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customHeight="1" spans="1:26">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customHeight="1" spans="1:26">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customHeight="1" spans="1:26">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customHeight="1" spans="1:26">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customHeight="1" spans="1:26">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customHeight="1" spans="1:26">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customHeight="1" spans="1:26">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customHeight="1" spans="1:26">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customHeight="1" spans="1:26">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customHeight="1" spans="1:26">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customHeight="1" spans="1:26">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customHeight="1" spans="1:26">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customHeight="1" spans="1:26">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customHeight="1" spans="1:26">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customHeight="1" spans="1:26">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customHeight="1" spans="1:26">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customHeight="1" spans="1:26">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customHeight="1" spans="1:26">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customHeight="1" spans="1:26">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customHeight="1" spans="1:26">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customHeight="1" spans="1:26">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customHeight="1" spans="1:26">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customHeight="1" spans="1:26">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customHeight="1" spans="1:26">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customHeight="1" spans="1:26">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customHeight="1" spans="1:26">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customHeight="1" spans="1:26">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customHeight="1" spans="1:26">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customHeight="1" spans="1:26">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customHeight="1" spans="1:26">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customHeight="1" spans="1:26">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customHeight="1" spans="1:26">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customHeight="1" spans="1:26">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customHeight="1" spans="1:26">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customHeight="1" spans="1:26">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customHeight="1" spans="1:26">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customHeight="1" spans="1:26">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customHeight="1" spans="1:26">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customHeight="1" spans="1:26">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customHeight="1" spans="1:26">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customHeight="1" spans="1:26">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customHeight="1" spans="1:26">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customHeight="1" spans="1:26">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customHeight="1" spans="1:26">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customHeight="1" spans="1:26">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customHeight="1" spans="1:26">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customHeight="1" spans="1:26">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customHeight="1" spans="1:26">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customHeight="1" spans="1:26">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customHeight="1" spans="1:26">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customHeight="1" spans="1:26">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customHeight="1" spans="1:26">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customHeight="1" spans="1:26">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customHeight="1" spans="1:26">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customHeight="1" spans="1:26">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customHeight="1" spans="1:26">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customHeight="1" spans="1:26">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customHeight="1" spans="1:26">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customHeight="1" spans="1:26">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customHeight="1" spans="1:26">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customHeight="1" spans="1:26">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customHeight="1" spans="1:26">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customHeight="1" spans="1:26">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customHeight="1" spans="1:26">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customHeight="1" spans="1:26">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customHeight="1" spans="1:26">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customHeight="1" spans="1:26">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customHeight="1" spans="1:26">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customHeight="1" spans="1:26">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customHeight="1" spans="1:26">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customHeight="1" spans="1:26">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customHeight="1" spans="1:26">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customHeight="1" spans="1:26">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customHeight="1" spans="1:26">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customHeight="1" spans="1:26">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customHeight="1" spans="1:26">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customHeight="1" spans="1:26">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customHeight="1" spans="1:26">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customHeight="1" spans="1:26">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customHeight="1" spans="1:26">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customHeight="1" spans="1:26">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customHeight="1" spans="1:26">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customHeight="1" spans="1:26">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customHeight="1" spans="1:26">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customHeight="1" spans="1:26">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customHeight="1" spans="1:26">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customHeight="1" spans="1:26">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customHeight="1" spans="1:26">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customHeight="1" spans="1:26">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customHeight="1" spans="1:26">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customHeight="1" spans="1:26">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customHeight="1" spans="1:26">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customHeight="1" spans="1:26">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customHeight="1" spans="1:26">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customHeight="1" spans="1:26">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customHeight="1" spans="1:26">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customHeight="1" spans="1:26">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customHeight="1" spans="1:26">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customHeight="1" spans="1:26">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customHeight="1" spans="1:26">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customHeight="1" spans="1:26">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customHeight="1" spans="1:26">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customHeight="1" spans="1:26">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customHeight="1" spans="1:26">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customHeight="1" spans="1:26">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customHeight="1" spans="1:26">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customHeight="1" spans="1:26">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customHeight="1" spans="1:26">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customHeight="1" spans="1:26">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customHeight="1" spans="1:26">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customHeight="1" spans="1:26">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customHeight="1" spans="1:26">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customHeight="1" spans="1:26">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customHeight="1" spans="1:26">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customHeight="1" spans="1:26">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customHeight="1" spans="1:26">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customHeight="1" spans="1:26">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customHeight="1" spans="1:26">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customHeight="1" spans="1:26">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customHeight="1" spans="1:26">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customHeight="1" spans="1:26">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customHeight="1" spans="1:26">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customHeight="1" spans="1:26">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customHeight="1" spans="1:26">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customHeight="1" spans="1:26">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customHeight="1" spans="1:26">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customHeight="1" spans="1:26">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customHeight="1" spans="1:26">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customHeight="1" spans="1:26">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customHeight="1" spans="1:26">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customHeight="1" spans="1:26">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customHeight="1" spans="1:26">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customHeight="1" spans="1:26">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customHeight="1" spans="1:26">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customHeight="1" spans="1:26">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customHeight="1" spans="1:26">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customHeight="1" spans="1:26">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customHeight="1" spans="1:26">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customHeight="1" spans="1:26">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customHeight="1" spans="1:26">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customHeight="1" spans="1:26">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customHeight="1" spans="1:26">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customHeight="1" spans="1:26">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customHeight="1" spans="1:26">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customHeight="1" spans="1:26">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customHeight="1" spans="1:26">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customHeight="1" spans="1:26">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customHeight="1" spans="1:26">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customHeight="1" spans="1:26">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customHeight="1" spans="1:26">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customHeight="1" spans="1:26">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customHeight="1" spans="1:26">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customHeight="1" spans="1:26">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customHeight="1" spans="1:26">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customHeight="1" spans="1:26">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customHeight="1" spans="1:26">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customHeight="1" spans="1:26">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customHeight="1" spans="1:26">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customHeight="1" spans="1:26">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customHeight="1" spans="1:26">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customHeight="1" spans="1:26">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customHeight="1" spans="1:26">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customHeight="1" spans="1:26">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customHeight="1" spans="1:26">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customHeight="1" spans="1:26">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customHeight="1" spans="1:26">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customHeight="1" spans="1:26">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customHeight="1" spans="1:26">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customHeight="1" spans="1:26">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customHeight="1" spans="1:26">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customHeight="1" spans="1:26">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customHeight="1" spans="1:26">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customHeight="1" spans="1:26">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customHeight="1" spans="1:26">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customHeight="1" spans="1:26">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customHeight="1" spans="1:26">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customHeight="1" spans="1:26">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customHeight="1" spans="1:26">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customHeight="1" spans="1:26">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customHeight="1" spans="1:26">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customHeight="1" spans="1:26">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customHeight="1" spans="1:26">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customHeight="1" spans="1:26">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customHeight="1" spans="1:26">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customHeight="1" spans="1:26">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customHeight="1" spans="1:26">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customHeight="1" spans="1:26">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customHeight="1" spans="1:26">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customHeight="1" spans="1:26">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customHeight="1" spans="1:26">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customHeight="1" spans="1:26">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customHeight="1" spans="1:26">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customHeight="1" spans="1:26">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customHeight="1" spans="1:26">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customHeight="1" spans="1:26">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customHeight="1" spans="1:26">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customHeight="1" spans="1:26">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customHeight="1" spans="1:26">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customHeight="1" spans="1:26">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customHeight="1" spans="1:26">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customHeight="1" spans="1:26">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customHeight="1" spans="1:26">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customHeight="1" spans="1:26">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customHeight="1" spans="1:26">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customHeight="1" spans="1:26">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customHeight="1" spans="1:26">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customHeight="1" spans="1:26">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customHeight="1" spans="1:26">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customHeight="1" spans="1:26">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customHeight="1" spans="1:26">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customHeight="1" spans="1:26">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customHeight="1" spans="1:26">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customHeight="1" spans="1:26">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customHeight="1" spans="1:26">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customHeight="1" spans="1:26">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customHeight="1" spans="1:26">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customHeight="1" spans="1:26">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customHeight="1" spans="1:26">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customHeight="1" spans="1:26">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customHeight="1" spans="1:26">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customHeight="1" spans="1:26">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customHeight="1" spans="1:26">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customHeight="1" spans="1:26">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customHeight="1" spans="1:26">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customHeight="1" spans="1:26">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customHeight="1" spans="1:26">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customHeight="1" spans="1:26">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customHeight="1" spans="1:26">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customHeight="1" spans="1:26">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customHeight="1" spans="1:26">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customHeight="1" spans="1:26">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customHeight="1" spans="1:26">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customHeight="1" spans="1:26">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customHeight="1" spans="1:26">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customHeight="1" spans="1:26">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customHeight="1" spans="1:26">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customHeight="1" spans="1:26">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customHeight="1" spans="1:26">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customHeight="1" spans="1:26">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customHeight="1" spans="1:26">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customHeight="1" spans="1:26">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customHeight="1" spans="1:26">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customHeight="1" spans="1:26">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customHeight="1" spans="1:26">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customHeight="1" spans="1:26">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customHeight="1" spans="1:26">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customHeight="1" spans="1:26">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customHeight="1" spans="1:26">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customHeight="1" spans="1:26">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customHeight="1" spans="1:26">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customHeight="1" spans="1:26">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customHeight="1" spans="1:26">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customHeight="1" spans="1:26">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customHeight="1" spans="1:26">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customHeight="1" spans="1:26">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customHeight="1" spans="1:26">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customHeight="1" spans="1:26">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customHeight="1" spans="1:26">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customHeight="1" spans="1:26">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customHeight="1" spans="1:26">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customHeight="1" spans="1:26">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customHeight="1" spans="1:26">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customHeight="1" spans="1:26">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customHeight="1" spans="1:26">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customHeight="1" spans="1:26">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customHeight="1" spans="1:26">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customHeight="1" spans="1:26">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customHeight="1" spans="1:26">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customHeight="1" spans="1:26">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customHeight="1" spans="1:26">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customHeight="1" spans="1:26">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customHeight="1" spans="1:26">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customHeight="1" spans="1:26">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customHeight="1" spans="1:26">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customHeight="1" spans="1:26">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customHeight="1" spans="1:26">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customHeight="1" spans="1:26">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customHeight="1" spans="1:26">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row r="1001" customHeight="1" spans="1:26">
      <c r="A1001" s="27"/>
      <c r="B1001" s="27"/>
      <c r="C1001" s="27"/>
      <c r="D1001" s="27"/>
      <c r="E1001" s="27"/>
      <c r="F1001" s="27"/>
      <c r="G1001" s="27"/>
      <c r="H1001" s="27"/>
      <c r="I1001" s="27"/>
      <c r="J1001" s="27"/>
      <c r="K1001" s="27"/>
      <c r="L1001" s="27"/>
      <c r="M1001" s="27"/>
      <c r="N1001" s="27"/>
      <c r="O1001" s="27"/>
      <c r="P1001" s="27"/>
      <c r="Q1001" s="27"/>
      <c r="R1001" s="27"/>
      <c r="S1001" s="27"/>
      <c r="T1001" s="27"/>
      <c r="U1001" s="27"/>
      <c r="V1001" s="27"/>
      <c r="W1001" s="27"/>
      <c r="X1001" s="27"/>
      <c r="Y1001" s="27"/>
      <c r="Z1001" s="27"/>
    </row>
    <row r="1002" customHeight="1" spans="1:26">
      <c r="A1002" s="27"/>
      <c r="B1002" s="27"/>
      <c r="C1002" s="27"/>
      <c r="D1002" s="27"/>
      <c r="E1002" s="27"/>
      <c r="F1002" s="27"/>
      <c r="G1002" s="27"/>
      <c r="H1002" s="27"/>
      <c r="I1002" s="27"/>
      <c r="J1002" s="27"/>
      <c r="K1002" s="27"/>
      <c r="L1002" s="27"/>
      <c r="M1002" s="27"/>
      <c r="N1002" s="27"/>
      <c r="O1002" s="27"/>
      <c r="P1002" s="27"/>
      <c r="Q1002" s="27"/>
      <c r="R1002" s="27"/>
      <c r="S1002" s="27"/>
      <c r="T1002" s="27"/>
      <c r="U1002" s="27"/>
      <c r="V1002" s="27"/>
      <c r="W1002" s="27"/>
      <c r="X1002" s="27"/>
      <c r="Y1002" s="27"/>
      <c r="Z1002" s="27"/>
    </row>
    <row r="1003" customHeight="1" spans="1:26">
      <c r="A1003" s="27"/>
      <c r="B1003" s="27"/>
      <c r="C1003" s="27"/>
      <c r="D1003" s="27"/>
      <c r="E1003" s="27"/>
      <c r="F1003" s="27"/>
      <c r="G1003" s="27"/>
      <c r="H1003" s="27"/>
      <c r="I1003" s="27"/>
      <c r="J1003" s="27"/>
      <c r="K1003" s="27"/>
      <c r="L1003" s="27"/>
      <c r="M1003" s="27"/>
      <c r="N1003" s="27"/>
      <c r="O1003" s="27"/>
      <c r="P1003" s="27"/>
      <c r="Q1003" s="27"/>
      <c r="R1003" s="27"/>
      <c r="S1003" s="27"/>
      <c r="T1003" s="27"/>
      <c r="U1003" s="27"/>
      <c r="V1003" s="27"/>
      <c r="W1003" s="27"/>
      <c r="X1003" s="27"/>
      <c r="Y1003" s="27"/>
      <c r="Z1003" s="27"/>
    </row>
    <row r="1004" customHeight="1" spans="1:26">
      <c r="A1004" s="27"/>
      <c r="B1004" s="27"/>
      <c r="C1004" s="27"/>
      <c r="D1004" s="27"/>
      <c r="E1004" s="27"/>
      <c r="F1004" s="27"/>
      <c r="G1004" s="27"/>
      <c r="H1004" s="27"/>
      <c r="I1004" s="27"/>
      <c r="J1004" s="27"/>
      <c r="K1004" s="27"/>
      <c r="L1004" s="27"/>
      <c r="M1004" s="27"/>
      <c r="N1004" s="27"/>
      <c r="O1004" s="27"/>
      <c r="P1004" s="27"/>
      <c r="Q1004" s="27"/>
      <c r="R1004" s="27"/>
      <c r="S1004" s="27"/>
      <c r="T1004" s="27"/>
      <c r="U1004" s="27"/>
      <c r="V1004" s="27"/>
      <c r="W1004" s="27"/>
      <c r="X1004" s="27"/>
      <c r="Y1004" s="27"/>
      <c r="Z1004" s="27"/>
    </row>
    <row r="1005" customHeight="1" spans="1:26">
      <c r="A1005" s="27"/>
      <c r="B1005" s="27"/>
      <c r="C1005" s="27"/>
      <c r="D1005" s="27"/>
      <c r="E1005" s="27"/>
      <c r="F1005" s="27"/>
      <c r="G1005" s="27"/>
      <c r="H1005" s="27"/>
      <c r="I1005" s="27"/>
      <c r="J1005" s="27"/>
      <c r="K1005" s="27"/>
      <c r="L1005" s="27"/>
      <c r="M1005" s="27"/>
      <c r="N1005" s="27"/>
      <c r="O1005" s="27"/>
      <c r="P1005" s="27"/>
      <c r="Q1005" s="27"/>
      <c r="R1005" s="27"/>
      <c r="S1005" s="27"/>
      <c r="T1005" s="27"/>
      <c r="U1005" s="27"/>
      <c r="V1005" s="27"/>
      <c r="W1005" s="27"/>
      <c r="X1005" s="27"/>
      <c r="Y1005" s="27"/>
      <c r="Z1005" s="27"/>
    </row>
    <row r="1006" customHeight="1" spans="1:26">
      <c r="A1006" s="27"/>
      <c r="B1006" s="27"/>
      <c r="C1006" s="27"/>
      <c r="D1006" s="27"/>
      <c r="E1006" s="27"/>
      <c r="F1006" s="27"/>
      <c r="G1006" s="27"/>
      <c r="H1006" s="27"/>
      <c r="I1006" s="27"/>
      <c r="J1006" s="27"/>
      <c r="K1006" s="27"/>
      <c r="L1006" s="27"/>
      <c r="M1006" s="27"/>
      <c r="N1006" s="27"/>
      <c r="O1006" s="27"/>
      <c r="P1006" s="27"/>
      <c r="Q1006" s="27"/>
      <c r="R1006" s="27"/>
      <c r="S1006" s="27"/>
      <c r="T1006" s="27"/>
      <c r="U1006" s="27"/>
      <c r="V1006" s="27"/>
      <c r="W1006" s="27"/>
      <c r="X1006" s="27"/>
      <c r="Y1006" s="27"/>
      <c r="Z1006" s="27"/>
    </row>
    <row r="1007" customHeight="1" spans="1:26">
      <c r="A1007" s="27"/>
      <c r="B1007" s="27"/>
      <c r="C1007" s="27"/>
      <c r="D1007" s="27"/>
      <c r="E1007" s="27"/>
      <c r="F1007" s="27"/>
      <c r="G1007" s="27"/>
      <c r="H1007" s="27"/>
      <c r="I1007" s="27"/>
      <c r="J1007" s="27"/>
      <c r="K1007" s="27"/>
      <c r="L1007" s="27"/>
      <c r="M1007" s="27"/>
      <c r="N1007" s="27"/>
      <c r="O1007" s="27"/>
      <c r="P1007" s="27"/>
      <c r="Q1007" s="27"/>
      <c r="R1007" s="27"/>
      <c r="S1007" s="27"/>
      <c r="T1007" s="27"/>
      <c r="U1007" s="27"/>
      <c r="V1007" s="27"/>
      <c r="W1007" s="27"/>
      <c r="X1007" s="27"/>
      <c r="Y1007" s="27"/>
      <c r="Z1007" s="27"/>
    </row>
    <row r="1008" customHeight="1" spans="1:26">
      <c r="A1008" s="27"/>
      <c r="B1008" s="27"/>
      <c r="C1008" s="27"/>
      <c r="D1008" s="27"/>
      <c r="E1008" s="27"/>
      <c r="F1008" s="27"/>
      <c r="G1008" s="27"/>
      <c r="H1008" s="27"/>
      <c r="I1008" s="27"/>
      <c r="J1008" s="27"/>
      <c r="K1008" s="27"/>
      <c r="L1008" s="27"/>
      <c r="M1008" s="27"/>
      <c r="N1008" s="27"/>
      <c r="O1008" s="27"/>
      <c r="P1008" s="27"/>
      <c r="Q1008" s="27"/>
      <c r="R1008" s="27"/>
      <c r="S1008" s="27"/>
      <c r="T1008" s="27"/>
      <c r="U1008" s="27"/>
      <c r="V1008" s="27"/>
      <c r="W1008" s="27"/>
      <c r="X1008" s="27"/>
      <c r="Y1008" s="27"/>
      <c r="Z1008" s="27"/>
    </row>
    <row r="1009" customHeight="1" spans="1:26">
      <c r="A1009" s="27"/>
      <c r="B1009" s="27"/>
      <c r="C1009" s="27"/>
      <c r="D1009" s="27"/>
      <c r="E1009" s="27"/>
      <c r="F1009" s="27"/>
      <c r="G1009" s="27"/>
      <c r="H1009" s="27"/>
      <c r="I1009" s="27"/>
      <c r="J1009" s="27"/>
      <c r="K1009" s="27"/>
      <c r="L1009" s="27"/>
      <c r="M1009" s="27"/>
      <c r="N1009" s="27"/>
      <c r="O1009" s="27"/>
      <c r="P1009" s="27"/>
      <c r="Q1009" s="27"/>
      <c r="R1009" s="27"/>
      <c r="S1009" s="27"/>
      <c r="T1009" s="27"/>
      <c r="U1009" s="27"/>
      <c r="V1009" s="27"/>
      <c r="W1009" s="27"/>
      <c r="X1009" s="27"/>
      <c r="Y1009" s="27"/>
      <c r="Z1009" s="27"/>
    </row>
    <row r="1010" customHeight="1" spans="1:26">
      <c r="A1010" s="27"/>
      <c r="B1010" s="27"/>
      <c r="C1010" s="27"/>
      <c r="D1010" s="27"/>
      <c r="E1010" s="27"/>
      <c r="F1010" s="27"/>
      <c r="G1010" s="27"/>
      <c r="H1010" s="27"/>
      <c r="I1010" s="27"/>
      <c r="J1010" s="27"/>
      <c r="K1010" s="27"/>
      <c r="L1010" s="27"/>
      <c r="M1010" s="27"/>
      <c r="N1010" s="27"/>
      <c r="O1010" s="27"/>
      <c r="P1010" s="27"/>
      <c r="Q1010" s="27"/>
      <c r="R1010" s="27"/>
      <c r="S1010" s="27"/>
      <c r="T1010" s="27"/>
      <c r="U1010" s="27"/>
      <c r="V1010" s="27"/>
      <c r="W1010" s="27"/>
      <c r="X1010" s="27"/>
      <c r="Y1010" s="27"/>
      <c r="Z1010" s="27"/>
    </row>
    <row r="1011" customHeight="1" spans="1:26">
      <c r="A1011" s="27"/>
      <c r="B1011" s="27"/>
      <c r="C1011" s="27"/>
      <c r="D1011" s="27"/>
      <c r="E1011" s="27"/>
      <c r="F1011" s="27"/>
      <c r="G1011" s="27"/>
      <c r="H1011" s="27"/>
      <c r="I1011" s="27"/>
      <c r="J1011" s="27"/>
      <c r="K1011" s="27"/>
      <c r="L1011" s="27"/>
      <c r="M1011" s="27"/>
      <c r="N1011" s="27"/>
      <c r="O1011" s="27"/>
      <c r="P1011" s="27"/>
      <c r="Q1011" s="27"/>
      <c r="R1011" s="27"/>
      <c r="S1011" s="27"/>
      <c r="T1011" s="27"/>
      <c r="U1011" s="27"/>
      <c r="V1011" s="27"/>
      <c r="W1011" s="27"/>
      <c r="X1011" s="27"/>
      <c r="Y1011" s="27"/>
      <c r="Z1011" s="27"/>
    </row>
    <row r="1012" customHeight="1" spans="1:26">
      <c r="A1012" s="27"/>
      <c r="B1012" s="27"/>
      <c r="C1012" s="27"/>
      <c r="D1012" s="27"/>
      <c r="E1012" s="27"/>
      <c r="F1012" s="27"/>
      <c r="G1012" s="27"/>
      <c r="H1012" s="27"/>
      <c r="I1012" s="27"/>
      <c r="J1012" s="27"/>
      <c r="K1012" s="27"/>
      <c r="L1012" s="27"/>
      <c r="M1012" s="27"/>
      <c r="N1012" s="27"/>
      <c r="O1012" s="27"/>
      <c r="P1012" s="27"/>
      <c r="Q1012" s="27"/>
      <c r="R1012" s="27"/>
      <c r="S1012" s="27"/>
      <c r="T1012" s="27"/>
      <c r="U1012" s="27"/>
      <c r="V1012" s="27"/>
      <c r="W1012" s="27"/>
      <c r="X1012" s="27"/>
      <c r="Y1012" s="27"/>
      <c r="Z1012" s="27"/>
    </row>
    <row r="1013" customHeight="1" spans="1:26">
      <c r="A1013" s="27"/>
      <c r="B1013" s="27"/>
      <c r="C1013" s="27"/>
      <c r="D1013" s="27"/>
      <c r="E1013" s="27"/>
      <c r="F1013" s="27"/>
      <c r="G1013" s="27"/>
      <c r="H1013" s="27"/>
      <c r="I1013" s="27"/>
      <c r="J1013" s="27"/>
      <c r="K1013" s="27"/>
      <c r="L1013" s="27"/>
      <c r="M1013" s="27"/>
      <c r="N1013" s="27"/>
      <c r="O1013" s="27"/>
      <c r="P1013" s="27"/>
      <c r="Q1013" s="27"/>
      <c r="R1013" s="27"/>
      <c r="S1013" s="27"/>
      <c r="T1013" s="27"/>
      <c r="U1013" s="27"/>
      <c r="V1013" s="27"/>
      <c r="W1013" s="27"/>
      <c r="X1013" s="27"/>
      <c r="Y1013" s="27"/>
      <c r="Z1013" s="27"/>
    </row>
    <row r="1014" customHeight="1" spans="1:26">
      <c r="A1014" s="27"/>
      <c r="B1014" s="27"/>
      <c r="C1014" s="27"/>
      <c r="D1014" s="27"/>
      <c r="E1014" s="27"/>
      <c r="F1014" s="27"/>
      <c r="G1014" s="27"/>
      <c r="H1014" s="27"/>
      <c r="I1014" s="27"/>
      <c r="J1014" s="27"/>
      <c r="K1014" s="27"/>
      <c r="L1014" s="27"/>
      <c r="M1014" s="27"/>
      <c r="N1014" s="27"/>
      <c r="O1014" s="27"/>
      <c r="P1014" s="27"/>
      <c r="Q1014" s="27"/>
      <c r="R1014" s="27"/>
      <c r="S1014" s="27"/>
      <c r="T1014" s="27"/>
      <c r="U1014" s="27"/>
      <c r="V1014" s="27"/>
      <c r="W1014" s="27"/>
      <c r="X1014" s="27"/>
      <c r="Y1014" s="27"/>
      <c r="Z1014" s="27"/>
    </row>
    <row r="1015" customHeight="1" spans="1:26">
      <c r="A1015" s="27"/>
      <c r="B1015" s="27"/>
      <c r="C1015" s="27"/>
      <c r="D1015" s="27"/>
      <c r="E1015" s="27"/>
      <c r="F1015" s="27"/>
      <c r="G1015" s="27"/>
      <c r="H1015" s="27"/>
      <c r="I1015" s="27"/>
      <c r="J1015" s="27"/>
      <c r="K1015" s="27"/>
      <c r="L1015" s="27"/>
      <c r="M1015" s="27"/>
      <c r="N1015" s="27"/>
      <c r="O1015" s="27"/>
      <c r="P1015" s="27"/>
      <c r="Q1015" s="27"/>
      <c r="R1015" s="27"/>
      <c r="S1015" s="27"/>
      <c r="T1015" s="27"/>
      <c r="U1015" s="27"/>
      <c r="V1015" s="27"/>
      <c r="W1015" s="27"/>
      <c r="X1015" s="27"/>
      <c r="Y1015" s="27"/>
      <c r="Z1015" s="27"/>
    </row>
    <row r="1016" customHeight="1" spans="1:26">
      <c r="A1016" s="27"/>
      <c r="B1016" s="27"/>
      <c r="C1016" s="27"/>
      <c r="D1016" s="27"/>
      <c r="E1016" s="27"/>
      <c r="F1016" s="27"/>
      <c r="G1016" s="27"/>
      <c r="H1016" s="27"/>
      <c r="I1016" s="27"/>
      <c r="J1016" s="27"/>
      <c r="K1016" s="27"/>
      <c r="L1016" s="27"/>
      <c r="M1016" s="27"/>
      <c r="N1016" s="27"/>
      <c r="O1016" s="27"/>
      <c r="P1016" s="27"/>
      <c r="Q1016" s="27"/>
      <c r="R1016" s="27"/>
      <c r="S1016" s="27"/>
      <c r="T1016" s="27"/>
      <c r="U1016" s="27"/>
      <c r="V1016" s="27"/>
      <c r="W1016" s="27"/>
      <c r="X1016" s="27"/>
      <c r="Y1016" s="27"/>
      <c r="Z1016" s="27"/>
    </row>
    <row r="1017" customHeight="1" spans="1:26">
      <c r="A1017" s="27"/>
      <c r="B1017" s="27"/>
      <c r="C1017" s="27"/>
      <c r="D1017" s="27"/>
      <c r="E1017" s="27"/>
      <c r="F1017" s="27"/>
      <c r="G1017" s="27"/>
      <c r="H1017" s="27"/>
      <c r="I1017" s="27"/>
      <c r="J1017" s="27"/>
      <c r="K1017" s="27"/>
      <c r="L1017" s="27"/>
      <c r="M1017" s="27"/>
      <c r="N1017" s="27"/>
      <c r="O1017" s="27"/>
      <c r="P1017" s="27"/>
      <c r="Q1017" s="27"/>
      <c r="R1017" s="27"/>
      <c r="S1017" s="27"/>
      <c r="T1017" s="27"/>
      <c r="U1017" s="27"/>
      <c r="V1017" s="27"/>
      <c r="W1017" s="27"/>
      <c r="X1017" s="27"/>
      <c r="Y1017" s="27"/>
      <c r="Z1017" s="27"/>
    </row>
    <row r="1018" customHeight="1" spans="1:26">
      <c r="A1018" s="27"/>
      <c r="B1018" s="27"/>
      <c r="C1018" s="27"/>
      <c r="D1018" s="27"/>
      <c r="E1018" s="27"/>
      <c r="F1018" s="27"/>
      <c r="G1018" s="27"/>
      <c r="H1018" s="27"/>
      <c r="I1018" s="27"/>
      <c r="J1018" s="27"/>
      <c r="K1018" s="27"/>
      <c r="L1018" s="27"/>
      <c r="M1018" s="27"/>
      <c r="N1018" s="27"/>
      <c r="O1018" s="27"/>
      <c r="P1018" s="27"/>
      <c r="Q1018" s="27"/>
      <c r="R1018" s="27"/>
      <c r="S1018" s="27"/>
      <c r="T1018" s="27"/>
      <c r="U1018" s="27"/>
      <c r="V1018" s="27"/>
      <c r="W1018" s="27"/>
      <c r="X1018" s="27"/>
      <c r="Y1018" s="27"/>
      <c r="Z1018" s="27"/>
    </row>
    <row r="1019" customHeight="1" spans="1:26">
      <c r="A1019" s="27"/>
      <c r="B1019" s="27"/>
      <c r="C1019" s="27"/>
      <c r="D1019" s="27"/>
      <c r="E1019" s="27"/>
      <c r="F1019" s="27"/>
      <c r="G1019" s="27"/>
      <c r="H1019" s="27"/>
      <c r="I1019" s="27"/>
      <c r="J1019" s="27"/>
      <c r="K1019" s="27"/>
      <c r="L1019" s="27"/>
      <c r="M1019" s="27"/>
      <c r="N1019" s="27"/>
      <c r="O1019" s="27"/>
      <c r="P1019" s="27"/>
      <c r="Q1019" s="27"/>
      <c r="R1019" s="27"/>
      <c r="S1019" s="27"/>
      <c r="T1019" s="27"/>
      <c r="U1019" s="27"/>
      <c r="V1019" s="27"/>
      <c r="W1019" s="27"/>
      <c r="X1019" s="27"/>
      <c r="Y1019" s="27"/>
      <c r="Z1019" s="27"/>
    </row>
    <row r="1020" customHeight="1" spans="1:26">
      <c r="A1020" s="27"/>
      <c r="B1020" s="27"/>
      <c r="C1020" s="27"/>
      <c r="D1020" s="27"/>
      <c r="E1020" s="27"/>
      <c r="F1020" s="27"/>
      <c r="G1020" s="27"/>
      <c r="H1020" s="27"/>
      <c r="I1020" s="27"/>
      <c r="J1020" s="27"/>
      <c r="K1020" s="27"/>
      <c r="L1020" s="27"/>
      <c r="M1020" s="27"/>
      <c r="N1020" s="27"/>
      <c r="O1020" s="27"/>
      <c r="P1020" s="27"/>
      <c r="Q1020" s="27"/>
      <c r="R1020" s="27"/>
      <c r="S1020" s="27"/>
      <c r="T1020" s="27"/>
      <c r="U1020" s="27"/>
      <c r="V1020" s="27"/>
      <c r="W1020" s="27"/>
      <c r="X1020" s="27"/>
      <c r="Y1020" s="27"/>
      <c r="Z1020" s="27"/>
    </row>
    <row r="1021" customHeight="1" spans="1:26">
      <c r="A1021" s="27"/>
      <c r="B1021" s="27"/>
      <c r="C1021" s="27"/>
      <c r="D1021" s="27"/>
      <c r="E1021" s="27"/>
      <c r="F1021" s="27"/>
      <c r="G1021" s="27"/>
      <c r="H1021" s="27"/>
      <c r="I1021" s="27"/>
      <c r="J1021" s="27"/>
      <c r="K1021" s="27"/>
      <c r="L1021" s="27"/>
      <c r="M1021" s="27"/>
      <c r="N1021" s="27"/>
      <c r="O1021" s="27"/>
      <c r="P1021" s="27"/>
      <c r="Q1021" s="27"/>
      <c r="R1021" s="27"/>
      <c r="S1021" s="27"/>
      <c r="T1021" s="27"/>
      <c r="U1021" s="27"/>
      <c r="V1021" s="27"/>
      <c r="W1021" s="27"/>
      <c r="X1021" s="27"/>
      <c r="Y1021" s="27"/>
      <c r="Z1021" s="27"/>
    </row>
    <row r="1022" customHeight="1" spans="1:26">
      <c r="A1022" s="27"/>
      <c r="B1022" s="27"/>
      <c r="C1022" s="27"/>
      <c r="D1022" s="27"/>
      <c r="E1022" s="27"/>
      <c r="F1022" s="27"/>
      <c r="G1022" s="27"/>
      <c r="H1022" s="27"/>
      <c r="I1022" s="27"/>
      <c r="J1022" s="27"/>
      <c r="K1022" s="27"/>
      <c r="L1022" s="27"/>
      <c r="M1022" s="27"/>
      <c r="N1022" s="27"/>
      <c r="O1022" s="27"/>
      <c r="P1022" s="27"/>
      <c r="Q1022" s="27"/>
      <c r="R1022" s="27"/>
      <c r="S1022" s="27"/>
      <c r="T1022" s="27"/>
      <c r="U1022" s="27"/>
      <c r="V1022" s="27"/>
      <c r="W1022" s="27"/>
      <c r="X1022" s="27"/>
      <c r="Y1022" s="27"/>
      <c r="Z1022" s="27"/>
    </row>
  </sheetData>
  <mergeCells count="51">
    <mergeCell ref="A7:I7"/>
    <mergeCell ref="B20:C20"/>
    <mergeCell ref="A21:I21"/>
    <mergeCell ref="B33:C33"/>
    <mergeCell ref="B34:C34"/>
    <mergeCell ref="B35:C35"/>
    <mergeCell ref="B36:C36"/>
    <mergeCell ref="B66:C66"/>
    <mergeCell ref="B67:C67"/>
    <mergeCell ref="B68:C68"/>
    <mergeCell ref="B73:C73"/>
    <mergeCell ref="B74:C74"/>
    <mergeCell ref="B75:C75"/>
    <mergeCell ref="B76:C76"/>
    <mergeCell ref="B77:C77"/>
    <mergeCell ref="B78:C78"/>
    <mergeCell ref="B79:C79"/>
    <mergeCell ref="B80:C80"/>
    <mergeCell ref="B81:C81"/>
    <mergeCell ref="B82:C82"/>
    <mergeCell ref="B8:B11"/>
    <mergeCell ref="B12:B19"/>
    <mergeCell ref="B22:B32"/>
    <mergeCell ref="B37:B40"/>
    <mergeCell ref="B41:B45"/>
    <mergeCell ref="B46:B51"/>
    <mergeCell ref="B52:B53"/>
    <mergeCell ref="B54:B57"/>
    <mergeCell ref="B58:B61"/>
    <mergeCell ref="B62:B65"/>
    <mergeCell ref="B69:B72"/>
    <mergeCell ref="D8:D19"/>
    <mergeCell ref="D22:D32"/>
    <mergeCell ref="D37:D40"/>
    <mergeCell ref="D52:D53"/>
    <mergeCell ref="D54:D57"/>
    <mergeCell ref="D58:D61"/>
    <mergeCell ref="D62:D65"/>
    <mergeCell ref="D66:D68"/>
    <mergeCell ref="D69:D70"/>
    <mergeCell ref="D71:D72"/>
    <mergeCell ref="D73:D75"/>
    <mergeCell ref="E12:E19"/>
    <mergeCell ref="E62:E65"/>
    <mergeCell ref="F13:F17"/>
    <mergeCell ref="F22:F32"/>
    <mergeCell ref="G22:G32"/>
    <mergeCell ref="G62:G65"/>
    <mergeCell ref="I1:I5"/>
    <mergeCell ref="A1:B5"/>
    <mergeCell ref="F1:H5"/>
  </mergeCells>
  <dataValidations count="1">
    <dataValidation type="list" allowBlank="1" showErrorMessage="1" sqref="H8:H20 H22:H82">
      <formula1>"PASSED,FAILED,UNTESTED,BLOCKED"</formula1>
    </dataValidation>
  </dataValidations>
  <hyperlinks>
    <hyperlink ref="D8" r:id="rId1" display="Open http://14.176.232.213:8080/EBankingWebsite/faces/transaction.xhtml page&#10;login successful"/>
  </hyperlinks>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WPS Spreadsheets</Application>
  <HeadingPairs>
    <vt:vector size="2" baseType="variant">
      <vt:variant>
        <vt:lpstr>工作表</vt:lpstr>
      </vt:variant>
      <vt:variant>
        <vt:i4>5</vt:i4>
      </vt:variant>
    </vt:vector>
  </HeadingPairs>
  <TitlesOfParts>
    <vt:vector size="5" baseType="lpstr">
      <vt:lpstr>Overview</vt:lpstr>
      <vt:lpstr>Analysis </vt:lpstr>
      <vt:lpstr>TC - Deposit money</vt:lpstr>
      <vt:lpstr>External Transfer money</vt:lpstr>
      <vt:lpstr>User_History transaction</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stefan.heidloff</dc:creator>
  <cp:lastModifiedBy>PC</cp:lastModifiedBy>
  <dcterms:created xsi:type="dcterms:W3CDTF">2007-01-15T14:58:00Z</dcterms:created>
  <dcterms:modified xsi:type="dcterms:W3CDTF">2023-09-27T10:14:16Z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93910B5DF153403899818793DE25609E_12</vt:lpwstr>
  </property>
  <property fmtid="{D5CDD505-2E9C-101B-9397-08002B2CF9AE}" pid="3" name="KSOProductBuildVer">
    <vt:lpwstr>1033-12.2.0.13215</vt:lpwstr>
  </property>
</Properties>
</file>